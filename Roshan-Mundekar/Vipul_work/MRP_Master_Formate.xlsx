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LGORIS\VIPUL_WORK\dist\"/>
    </mc:Choice>
  </mc:AlternateContent>
  <xr:revisionPtr revIDLastSave="0" documentId="13_ncr:1_{36BB1B85-0A28-4A32-8C32-8097F99CD4CE}" xr6:coauthVersionLast="45" xr6:coauthVersionMax="47" xr10:uidLastSave="{00000000-0000-0000-0000-000000000000}"/>
  <bookViews>
    <workbookView xWindow="-120" yWindow="-120" windowWidth="20730" windowHeight="11040" xr2:uid="{1167B777-EA45-4DB3-86F7-D4DC8544FF2F}"/>
  </bookViews>
  <sheets>
    <sheet name="MRP Master" sheetId="1" r:id="rId1"/>
  </sheets>
  <externalReferences>
    <externalReference r:id="rId2"/>
  </externalReferences>
  <definedNames>
    <definedName name="_xlnm._FilterDatabase" localSheetId="0" hidden="1">'MRP Master'!$A$2:$T$127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127" i="1" l="1"/>
  <c r="Q127" i="1"/>
  <c r="S127" i="1" s="1"/>
  <c r="L127" i="1"/>
  <c r="K127" i="1"/>
  <c r="G127" i="1"/>
  <c r="T124" i="1"/>
  <c r="S124" i="1"/>
  <c r="Q124" i="1"/>
  <c r="L124" i="1"/>
  <c r="T123" i="1"/>
  <c r="S123" i="1"/>
  <c r="Q123" i="1"/>
  <c r="L123" i="1"/>
  <c r="G123" i="1"/>
  <c r="T122" i="1"/>
  <c r="Q122" i="1"/>
  <c r="S122" i="1" s="1"/>
  <c r="L122" i="1"/>
  <c r="G122" i="1"/>
  <c r="T120" i="1"/>
  <c r="Q120" i="1"/>
  <c r="S120" i="1" s="1"/>
  <c r="L120" i="1"/>
  <c r="G120" i="1"/>
  <c r="T118" i="1"/>
  <c r="Q118" i="1"/>
  <c r="S118" i="1" s="1"/>
  <c r="L118" i="1"/>
  <c r="G118" i="1"/>
  <c r="T115" i="1"/>
  <c r="S115" i="1"/>
  <c r="Q115" i="1"/>
  <c r="L115" i="1"/>
  <c r="G115" i="1"/>
  <c r="T114" i="1"/>
  <c r="P114" i="1"/>
  <c r="Q114" i="1" s="1"/>
  <c r="O114" i="1"/>
  <c r="K114" i="1"/>
  <c r="L114" i="1" s="1"/>
  <c r="J114" i="1"/>
  <c r="G114" i="1"/>
  <c r="T113" i="1"/>
  <c r="Q113" i="1"/>
  <c r="S113" i="1" s="1"/>
  <c r="L113" i="1"/>
  <c r="G113" i="1"/>
  <c r="T112" i="1"/>
  <c r="Q112" i="1"/>
  <c r="S112" i="1" s="1"/>
  <c r="L112" i="1"/>
  <c r="G112" i="1"/>
  <c r="T111" i="1"/>
  <c r="S111" i="1"/>
  <c r="Q111" i="1"/>
  <c r="L111" i="1"/>
  <c r="G111" i="1"/>
  <c r="T110" i="1"/>
  <c r="Q110" i="1"/>
  <c r="S110" i="1" s="1"/>
  <c r="L110" i="1"/>
  <c r="G110" i="1"/>
  <c r="T107" i="1"/>
  <c r="Q107" i="1"/>
  <c r="S107" i="1" s="1"/>
  <c r="L107" i="1"/>
  <c r="G107" i="1"/>
  <c r="T106" i="1"/>
  <c r="Q106" i="1"/>
  <c r="S106" i="1" s="1"/>
  <c r="P106" i="1"/>
  <c r="O106" i="1"/>
  <c r="L106" i="1"/>
  <c r="G106" i="1"/>
  <c r="T105" i="1"/>
  <c r="Q105" i="1"/>
  <c r="S105" i="1" s="1"/>
  <c r="L105" i="1"/>
  <c r="G105" i="1"/>
  <c r="T104" i="1"/>
  <c r="Q104" i="1"/>
  <c r="S104" i="1" s="1"/>
  <c r="L104" i="1"/>
  <c r="G104" i="1"/>
  <c r="T103" i="1"/>
  <c r="S103" i="1"/>
  <c r="Q103" i="1"/>
  <c r="L103" i="1"/>
  <c r="G103" i="1"/>
  <c r="T100" i="1"/>
  <c r="Q100" i="1"/>
  <c r="S100" i="1" s="1"/>
  <c r="L100" i="1"/>
  <c r="G100" i="1"/>
  <c r="T99" i="1"/>
  <c r="Q99" i="1"/>
  <c r="S99" i="1" s="1"/>
  <c r="L99" i="1"/>
  <c r="G99" i="1"/>
  <c r="T98" i="1"/>
  <c r="Q98" i="1"/>
  <c r="K98" i="1"/>
  <c r="L98" i="1" s="1"/>
  <c r="G98" i="1"/>
  <c r="T95" i="1"/>
  <c r="Q95" i="1"/>
  <c r="K95" i="1"/>
  <c r="L95" i="1" s="1"/>
  <c r="G95" i="1"/>
  <c r="T93" i="1"/>
  <c r="Q93" i="1"/>
  <c r="S93" i="1" s="1"/>
  <c r="L93" i="1"/>
  <c r="G93" i="1"/>
  <c r="T92" i="1"/>
  <c r="S92" i="1"/>
  <c r="Q92" i="1"/>
  <c r="L92" i="1"/>
  <c r="G92" i="1"/>
  <c r="T91" i="1"/>
  <c r="Q91" i="1"/>
  <c r="S91" i="1" s="1"/>
  <c r="L91" i="1"/>
  <c r="G91" i="1"/>
  <c r="T90" i="1"/>
  <c r="Q90" i="1"/>
  <c r="S90" i="1" s="1"/>
  <c r="L90" i="1"/>
  <c r="G90" i="1"/>
  <c r="T89" i="1"/>
  <c r="Q89" i="1"/>
  <c r="S89" i="1" s="1"/>
  <c r="L89" i="1"/>
  <c r="G89" i="1"/>
  <c r="T88" i="1"/>
  <c r="S88" i="1"/>
  <c r="Q88" i="1"/>
  <c r="L88" i="1"/>
  <c r="G88" i="1"/>
  <c r="T87" i="1"/>
  <c r="Q87" i="1"/>
  <c r="S87" i="1" s="1"/>
  <c r="L87" i="1"/>
  <c r="G87" i="1"/>
  <c r="T86" i="1"/>
  <c r="Q86" i="1"/>
  <c r="S86" i="1" s="1"/>
  <c r="L86" i="1"/>
  <c r="G86" i="1"/>
  <c r="T85" i="1"/>
  <c r="Q85" i="1"/>
  <c r="S85" i="1" s="1"/>
  <c r="L85" i="1"/>
  <c r="G85" i="1"/>
  <c r="T84" i="1"/>
  <c r="S84" i="1"/>
  <c r="Q84" i="1"/>
  <c r="L84" i="1"/>
  <c r="G84" i="1"/>
  <c r="T81" i="1"/>
  <c r="Q81" i="1"/>
  <c r="K81" i="1"/>
  <c r="L81" i="1" s="1"/>
  <c r="G81" i="1"/>
  <c r="T80" i="1"/>
  <c r="Q80" i="1"/>
  <c r="K80" i="1"/>
  <c r="L80" i="1" s="1"/>
  <c r="G80" i="1"/>
  <c r="T79" i="1"/>
  <c r="Q79" i="1"/>
  <c r="K79" i="1"/>
  <c r="L79" i="1" s="1"/>
  <c r="G79" i="1"/>
  <c r="T78" i="1"/>
  <c r="Q78" i="1"/>
  <c r="K78" i="1"/>
  <c r="L78" i="1" s="1"/>
  <c r="G78" i="1"/>
  <c r="T77" i="1"/>
  <c r="Q77" i="1"/>
  <c r="K77" i="1"/>
  <c r="L77" i="1" s="1"/>
  <c r="G77" i="1"/>
  <c r="T76" i="1"/>
  <c r="Q76" i="1"/>
  <c r="K76" i="1"/>
  <c r="L76" i="1" s="1"/>
  <c r="G76" i="1"/>
  <c r="T75" i="1"/>
  <c r="Q75" i="1"/>
  <c r="K75" i="1"/>
  <c r="L75" i="1" s="1"/>
  <c r="G75" i="1"/>
  <c r="T74" i="1"/>
  <c r="Q74" i="1"/>
  <c r="K74" i="1"/>
  <c r="L74" i="1" s="1"/>
  <c r="G74" i="1"/>
  <c r="T73" i="1"/>
  <c r="Q73" i="1"/>
  <c r="K73" i="1"/>
  <c r="L73" i="1" s="1"/>
  <c r="G73" i="1"/>
  <c r="T72" i="1"/>
  <c r="Q72" i="1"/>
  <c r="K72" i="1"/>
  <c r="L72" i="1" s="1"/>
  <c r="G72" i="1"/>
  <c r="T69" i="1"/>
  <c r="P69" i="1"/>
  <c r="Q69" i="1" s="1"/>
  <c r="T68" i="1"/>
  <c r="S68" i="1"/>
  <c r="Q68" i="1"/>
  <c r="L68" i="1"/>
  <c r="T67" i="1"/>
  <c r="L67" i="1"/>
  <c r="G67" i="1"/>
  <c r="T66" i="1"/>
  <c r="J66" i="1"/>
  <c r="L66" i="1" s="1"/>
  <c r="G66" i="1"/>
  <c r="T65" i="1"/>
  <c r="Q65" i="1"/>
  <c r="S65" i="1" s="1"/>
  <c r="L65" i="1"/>
  <c r="G65" i="1"/>
  <c r="T64" i="1"/>
  <c r="Q64" i="1"/>
  <c r="J64" i="1"/>
  <c r="L64" i="1" s="1"/>
  <c r="S64" i="1" s="1"/>
  <c r="G64" i="1"/>
  <c r="T63" i="1"/>
  <c r="Q63" i="1"/>
  <c r="S63" i="1" s="1"/>
  <c r="L63" i="1"/>
  <c r="G63" i="1"/>
  <c r="T62" i="1"/>
  <c r="Q62" i="1"/>
  <c r="J62" i="1"/>
  <c r="L62" i="1" s="1"/>
  <c r="G62" i="1"/>
  <c r="T61" i="1"/>
  <c r="P61" i="1"/>
  <c r="Q61" i="1" s="1"/>
  <c r="S61" i="1" s="1"/>
  <c r="L61" i="1"/>
  <c r="G61" i="1"/>
  <c r="T60" i="1"/>
  <c r="Q60" i="1"/>
  <c r="P60" i="1"/>
  <c r="J60" i="1"/>
  <c r="L60" i="1" s="1"/>
  <c r="G60" i="1"/>
  <c r="T59" i="1"/>
  <c r="Q59" i="1"/>
  <c r="S59" i="1" s="1"/>
  <c r="L59" i="1"/>
  <c r="G59" i="1"/>
  <c r="T58" i="1"/>
  <c r="Q58" i="1"/>
  <c r="J58" i="1"/>
  <c r="L58" i="1" s="1"/>
  <c r="G58" i="1"/>
  <c r="T57" i="1"/>
  <c r="Q57" i="1"/>
  <c r="S57" i="1" s="1"/>
  <c r="L57" i="1"/>
  <c r="G57" i="1"/>
  <c r="T56" i="1"/>
  <c r="Q56" i="1"/>
  <c r="S56" i="1" s="1"/>
  <c r="L56" i="1"/>
  <c r="K56" i="1"/>
  <c r="J56" i="1"/>
  <c r="G56" i="1"/>
  <c r="T53" i="1"/>
  <c r="Q53" i="1"/>
  <c r="K53" i="1"/>
  <c r="L53" i="1" s="1"/>
  <c r="J53" i="1"/>
  <c r="G53" i="1"/>
  <c r="T52" i="1"/>
  <c r="Q52" i="1"/>
  <c r="K52" i="1"/>
  <c r="L52" i="1" s="1"/>
  <c r="S52" i="1" s="1"/>
  <c r="J52" i="1"/>
  <c r="G52" i="1"/>
  <c r="T51" i="1"/>
  <c r="Q51" i="1"/>
  <c r="K51" i="1"/>
  <c r="L51" i="1" s="1"/>
  <c r="J51" i="1"/>
  <c r="G51" i="1"/>
  <c r="T48" i="1"/>
  <c r="G48" i="1"/>
  <c r="T47" i="1"/>
  <c r="Q47" i="1"/>
  <c r="K47" i="1"/>
  <c r="L47" i="1" s="1"/>
  <c r="S47" i="1" s="1"/>
  <c r="J47" i="1"/>
  <c r="G47" i="1"/>
  <c r="T46" i="1"/>
  <c r="Q46" i="1"/>
  <c r="S46" i="1" s="1"/>
  <c r="L46" i="1"/>
  <c r="G46" i="1"/>
  <c r="T45" i="1"/>
  <c r="Q45" i="1"/>
  <c r="K45" i="1"/>
  <c r="L45" i="1" s="1"/>
  <c r="S45" i="1" s="1"/>
  <c r="J45" i="1"/>
  <c r="G45" i="1"/>
  <c r="T44" i="1"/>
  <c r="Q44" i="1"/>
  <c r="S44" i="1" s="1"/>
  <c r="L44" i="1"/>
  <c r="G44" i="1"/>
  <c r="T43" i="1"/>
  <c r="Q43" i="1"/>
  <c r="K43" i="1"/>
  <c r="L43" i="1" s="1"/>
  <c r="S43" i="1" s="1"/>
  <c r="J43" i="1"/>
  <c r="G43" i="1"/>
  <c r="T42" i="1"/>
  <c r="Q42" i="1"/>
  <c r="S42" i="1" s="1"/>
  <c r="L42" i="1"/>
  <c r="G42" i="1"/>
  <c r="T41" i="1"/>
  <c r="Q41" i="1"/>
  <c r="K41" i="1"/>
  <c r="L41" i="1" s="1"/>
  <c r="S41" i="1" s="1"/>
  <c r="J41" i="1"/>
  <c r="G41" i="1"/>
  <c r="T38" i="1"/>
  <c r="Q38" i="1"/>
  <c r="S38" i="1" s="1"/>
  <c r="L38" i="1"/>
  <c r="G38" i="1"/>
  <c r="T37" i="1"/>
  <c r="S37" i="1"/>
  <c r="Q37" i="1"/>
  <c r="L37" i="1"/>
  <c r="G37" i="1"/>
  <c r="T36" i="1"/>
  <c r="Q36" i="1"/>
  <c r="S36" i="1" s="1"/>
  <c r="L36" i="1"/>
  <c r="G36" i="1"/>
  <c r="T35" i="1"/>
  <c r="Q35" i="1"/>
  <c r="S35" i="1" s="1"/>
  <c r="L35" i="1"/>
  <c r="G35" i="1"/>
  <c r="T34" i="1"/>
  <c r="Q34" i="1"/>
  <c r="S34" i="1" s="1"/>
  <c r="L34" i="1"/>
  <c r="G34" i="1"/>
  <c r="T33" i="1"/>
  <c r="S33" i="1"/>
  <c r="Q33" i="1"/>
  <c r="L33" i="1"/>
  <c r="G33" i="1"/>
  <c r="T32" i="1"/>
  <c r="Q32" i="1"/>
  <c r="S32" i="1" s="1"/>
  <c r="L32" i="1"/>
  <c r="G32" i="1"/>
  <c r="T30" i="1"/>
  <c r="Q30" i="1"/>
  <c r="S30" i="1" s="1"/>
  <c r="L30" i="1"/>
  <c r="L29" i="1"/>
  <c r="T28" i="1"/>
  <c r="Q28" i="1"/>
  <c r="S28" i="1" s="1"/>
  <c r="P28" i="1"/>
  <c r="J28" i="1"/>
  <c r="L28" i="1" s="1"/>
  <c r="L27" i="1"/>
  <c r="J27" i="1"/>
  <c r="G27" i="1"/>
  <c r="T24" i="1"/>
  <c r="P24" i="1"/>
  <c r="Q24" i="1" s="1"/>
  <c r="J24" i="1"/>
  <c r="L24" i="1" s="1"/>
  <c r="J23" i="1"/>
  <c r="L23" i="1" s="1"/>
  <c r="G23" i="1"/>
  <c r="T22" i="1"/>
  <c r="P22" i="1"/>
  <c r="Q22" i="1" s="1"/>
  <c r="S22" i="1" s="1"/>
  <c r="J21" i="1"/>
  <c r="J22" i="1" s="1"/>
  <c r="L22" i="1" s="1"/>
  <c r="G21" i="1"/>
  <c r="T18" i="1"/>
  <c r="Q18" i="1"/>
  <c r="S18" i="1" s="1"/>
  <c r="L18" i="1"/>
  <c r="K18" i="1"/>
  <c r="J18" i="1"/>
  <c r="G18" i="1"/>
  <c r="T17" i="1"/>
  <c r="Q17" i="1"/>
  <c r="K17" i="1"/>
  <c r="L17" i="1" s="1"/>
  <c r="J17" i="1"/>
  <c r="G17" i="1"/>
  <c r="T16" i="1"/>
  <c r="Q16" i="1"/>
  <c r="J16" i="1"/>
  <c r="L16" i="1" s="1"/>
  <c r="S16" i="1" s="1"/>
  <c r="G16" i="1"/>
  <c r="T15" i="1"/>
  <c r="Q15" i="1"/>
  <c r="S15" i="1" s="1"/>
  <c r="L15" i="1"/>
  <c r="K15" i="1"/>
  <c r="J15" i="1"/>
  <c r="G15" i="1"/>
  <c r="T14" i="1"/>
  <c r="Q14" i="1"/>
  <c r="K14" i="1"/>
  <c r="L14" i="1" s="1"/>
  <c r="J14" i="1"/>
  <c r="G14" i="1"/>
  <c r="T13" i="1"/>
  <c r="G13" i="1"/>
  <c r="T11" i="1"/>
  <c r="T9" i="1"/>
  <c r="Q9" i="1"/>
  <c r="K9" i="1"/>
  <c r="L9" i="1" s="1"/>
  <c r="G9" i="1"/>
  <c r="T8" i="1"/>
  <c r="Q8" i="1"/>
  <c r="S8" i="1" s="1"/>
  <c r="L8" i="1"/>
  <c r="G8" i="1"/>
  <c r="T7" i="1"/>
  <c r="Q7" i="1"/>
  <c r="S7" i="1" s="1"/>
  <c r="L7" i="1"/>
  <c r="K7" i="1"/>
  <c r="G7" i="1"/>
  <c r="T6" i="1"/>
  <c r="T1" i="1" s="1"/>
  <c r="Q6" i="1"/>
  <c r="K6" i="1"/>
  <c r="L6" i="1" s="1"/>
  <c r="S6" i="1" s="1"/>
  <c r="G6" i="1"/>
  <c r="T5" i="1"/>
  <c r="Q5" i="1"/>
  <c r="S5" i="1" s="1"/>
  <c r="L5" i="1"/>
  <c r="K5" i="1"/>
  <c r="G5" i="1"/>
  <c r="T4" i="1"/>
  <c r="Q4" i="1"/>
  <c r="K4" i="1"/>
  <c r="L4" i="1" s="1"/>
  <c r="S4" i="1" s="1"/>
  <c r="G4" i="1"/>
  <c r="T3" i="1"/>
  <c r="Q3" i="1"/>
  <c r="S3" i="1" s="1"/>
  <c r="L3" i="1"/>
  <c r="K3" i="1"/>
  <c r="G3" i="1"/>
  <c r="S24" i="1" l="1"/>
  <c r="S51" i="1"/>
  <c r="S58" i="1"/>
  <c r="S95" i="1"/>
  <c r="S98" i="1"/>
  <c r="S17" i="1"/>
  <c r="S60" i="1"/>
  <c r="S62" i="1"/>
  <c r="S72" i="1"/>
  <c r="S73" i="1"/>
  <c r="S74" i="1"/>
  <c r="S75" i="1"/>
  <c r="S76" i="1"/>
  <c r="S77" i="1"/>
  <c r="S78" i="1"/>
  <c r="S79" i="1"/>
  <c r="S80" i="1"/>
  <c r="S81" i="1"/>
  <c r="S9" i="1"/>
  <c r="S14" i="1"/>
  <c r="S53" i="1"/>
  <c r="S114" i="1"/>
  <c r="L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tc={E9D64F41-D3AB-4997-BF73-47D865070062}</author>
    <author>tc={6D46C931-097C-494F-BFE8-23128BAC9FE0}</author>
  </authors>
  <commentList>
    <comment ref="C64" authorId="0" shapeId="0" xr:uid="{E9D64F41-D3AB-4997-BF73-47D865070062}">
      <text>
        <t>[Threaded comment]
Your version of Excel allows you to read this threaded comment; however, any edits to it will get removed if the file is opened in a newer version of Excel. Learn more: https://go.microsoft.com/fwlink/?linkid=870924
Comment:
    'Choc-Kiss-DrkAlm-36g-Pch for Realization file purpose. Confirmed with Nikita</t>
      </text>
    </comment>
    <comment ref="C65" authorId="1" shapeId="0" xr:uid="{6D46C931-097C-494F-BFE8-23128BAC9FE0}">
      <text>
        <t>[Threaded comment]
Your version of Excel allows you to read this threaded comment; however, any edits to it will get removed if the file is opened in a newer version of Excel. Learn more: https://go.microsoft.com/fwlink/?linkid=870924
Comment:
    'Choc-Kiss-DrkAlm-108g-Pch. Confirmed with Nikita</t>
      </text>
    </comment>
  </commentList>
</comments>
</file>

<file path=xl/sharedStrings.xml><?xml version="1.0" encoding="utf-8"?>
<sst xmlns="http://schemas.openxmlformats.org/spreadsheetml/2006/main" count="430" uniqueCount="234">
  <si>
    <t>Category</t>
  </si>
  <si>
    <t>PPG code</t>
  </si>
  <si>
    <t>SKU name</t>
  </si>
  <si>
    <t>Month</t>
  </si>
  <si>
    <t>grams</t>
  </si>
  <si>
    <t>MRP</t>
  </si>
  <si>
    <t>PPG</t>
  </si>
  <si>
    <t>Grams</t>
  </si>
  <si>
    <t>% increase</t>
  </si>
  <si>
    <t>Volume</t>
  </si>
  <si>
    <t>Syrup</t>
  </si>
  <si>
    <t>SYP0003</t>
  </si>
  <si>
    <t>Syrup Choc Btl 623g</t>
  </si>
  <si>
    <t>Jul'24</t>
  </si>
  <si>
    <t>Aug'25</t>
  </si>
  <si>
    <t>Jul'26</t>
  </si>
  <si>
    <t>SYP0005</t>
  </si>
  <si>
    <t>Syrup Crml Btl 623g</t>
  </si>
  <si>
    <t>SYP0008</t>
  </si>
  <si>
    <t xml:space="preserve">Syrup Strawberry 623g </t>
  </si>
  <si>
    <t>SYP0002</t>
  </si>
  <si>
    <t xml:space="preserve">Syrup Choc 200g </t>
  </si>
  <si>
    <t>SYP0007</t>
  </si>
  <si>
    <t>Syrup Strawberry 200g</t>
  </si>
  <si>
    <t>SYP0001</t>
  </si>
  <si>
    <t>Syrup Choc Btl 1300g</t>
  </si>
  <si>
    <t>SYP0004</t>
  </si>
  <si>
    <t>Syrup Pouch 600g</t>
  </si>
  <si>
    <t>Milk Booster</t>
  </si>
  <si>
    <t>MSH0001</t>
  </si>
  <si>
    <t>Milk Booster 450g</t>
  </si>
  <si>
    <t>Spreads</t>
  </si>
  <si>
    <t>SPR0009</t>
  </si>
  <si>
    <t>Spreads CocoaAlm Jar 650g</t>
  </si>
  <si>
    <t>Feb'24</t>
  </si>
  <si>
    <t>Discontinued</t>
  </si>
  <si>
    <t>SPR0004</t>
  </si>
  <si>
    <t xml:space="preserve">Spreads CocoaAlm Jar 350g </t>
  </si>
  <si>
    <t>Apr'26</t>
  </si>
  <si>
    <t>SPR0007</t>
  </si>
  <si>
    <t xml:space="preserve">Spreads Cocoa Jar 350g </t>
  </si>
  <si>
    <t>SPR0008</t>
  </si>
  <si>
    <t xml:space="preserve">Spreads C&amp;C Jar 350g </t>
  </si>
  <si>
    <t>May'25</t>
  </si>
  <si>
    <t>SPR0001</t>
  </si>
  <si>
    <t>Spreads CocoaAlm Jar 150g</t>
  </si>
  <si>
    <t>SPR0006</t>
  </si>
  <si>
    <t xml:space="preserve">Spreads Cocoa Jar 150g </t>
  </si>
  <si>
    <t>Cocoa</t>
  </si>
  <si>
    <t>HCO0002</t>
  </si>
  <si>
    <t>Cocoa Powder 70g</t>
  </si>
  <si>
    <t>Feb'25</t>
  </si>
  <si>
    <t>HCO0001</t>
  </si>
  <si>
    <t>Cocoa Powder 225g</t>
  </si>
  <si>
    <t>Hershey's Cocoa</t>
  </si>
  <si>
    <t>Hot Chocolate</t>
  </si>
  <si>
    <t>HCO0003</t>
  </si>
  <si>
    <t>Hershey's Hot Chocolate 250g</t>
  </si>
  <si>
    <t>Jan'24</t>
  </si>
  <si>
    <t>HCO0005</t>
  </si>
  <si>
    <t>Hershey's Hot Chocolate 110g</t>
  </si>
  <si>
    <t>NA</t>
  </si>
  <si>
    <t>Jan'25</t>
  </si>
  <si>
    <t>Jul'25</t>
  </si>
  <si>
    <t>Milk shake</t>
  </si>
  <si>
    <t>MSH0004</t>
  </si>
  <si>
    <t>Hsy MlkShk Choc 180ml 30</t>
  </si>
  <si>
    <t>MSH0009</t>
  </si>
  <si>
    <t xml:space="preserve">Hsy MlkShk Str 180ml 30 </t>
  </si>
  <si>
    <t>MSH0007</t>
  </si>
  <si>
    <t xml:space="preserve">Hsy MlkShk CnC 180ml 30 </t>
  </si>
  <si>
    <t>MSH0010</t>
  </si>
  <si>
    <t>Hsy MlkShk Van 180ml 30</t>
  </si>
  <si>
    <t>MSH0002</t>
  </si>
  <si>
    <t>Hsy MlkShk Alm 180ml 30</t>
  </si>
  <si>
    <t>MSH0015</t>
  </si>
  <si>
    <t>Hsy MlkShk Cash B/Scoth</t>
  </si>
  <si>
    <t>MSH0018</t>
  </si>
  <si>
    <t>Hsy MlkShk Coffee Mocha</t>
  </si>
  <si>
    <t>Sofit</t>
  </si>
  <si>
    <t>SFT0015</t>
  </si>
  <si>
    <t xml:space="preserve">Sofit Van 1L 12 </t>
  </si>
  <si>
    <t>Jan'26</t>
  </si>
  <si>
    <t>SFT0016</t>
  </si>
  <si>
    <t xml:space="preserve">Sofit Van 200ml </t>
  </si>
  <si>
    <t>SFT0014</t>
  </si>
  <si>
    <t xml:space="preserve">Sofit SF SyMlk 1L </t>
  </si>
  <si>
    <t>SFT0013</t>
  </si>
  <si>
    <t xml:space="preserve">Sofit SF SyMlk 200ml </t>
  </si>
  <si>
    <t>SFT0006</t>
  </si>
  <si>
    <t xml:space="preserve">Sofit Choc 1L </t>
  </si>
  <si>
    <t>SFT0007</t>
  </si>
  <si>
    <t>Sofit Choc 200ml</t>
  </si>
  <si>
    <t>SFT0008</t>
  </si>
  <si>
    <t xml:space="preserve">Sofit KsrPs 1L </t>
  </si>
  <si>
    <t>SFT0009</t>
  </si>
  <si>
    <t xml:space="preserve">Sofit KsrPs 200ml </t>
  </si>
  <si>
    <t>Dicontinued</t>
  </si>
  <si>
    <t>Base Sofit</t>
  </si>
  <si>
    <t>Sofit Almond</t>
  </si>
  <si>
    <t>SFT0002</t>
  </si>
  <si>
    <t xml:space="preserve">Sofit Alm Mlk SF 200ml </t>
  </si>
  <si>
    <t>SFT0003</t>
  </si>
  <si>
    <t xml:space="preserve">Sofit Alm 1L 12 </t>
  </si>
  <si>
    <t>SFT0004</t>
  </si>
  <si>
    <t>Sofit Alm 1L 12 - chocolate</t>
  </si>
  <si>
    <t>Kisses</t>
  </si>
  <si>
    <t>KIS0008</t>
  </si>
  <si>
    <t>Hsy Kiss Milk Pch 36g</t>
  </si>
  <si>
    <t>Sep'24</t>
  </si>
  <si>
    <t>KIS0007</t>
  </si>
  <si>
    <t xml:space="preserve">Hsy Kiss Milk Pch 108g </t>
  </si>
  <si>
    <t>Sep'25</t>
  </si>
  <si>
    <t>KIS0002</t>
  </si>
  <si>
    <t xml:space="preserve">Hsy KWA Pch 33.6g </t>
  </si>
  <si>
    <t>KIS0001</t>
  </si>
  <si>
    <t xml:space="preserve">Hsy KWA Pch 100.8g </t>
  </si>
  <si>
    <t>KIS0004</t>
  </si>
  <si>
    <t xml:space="preserve">Hsy KissCnC Pch 33.6g </t>
  </si>
  <si>
    <t>KIS0003</t>
  </si>
  <si>
    <t>Hsy Kiss CnC Pch 100.8g</t>
  </si>
  <si>
    <t>KIS0011</t>
  </si>
  <si>
    <t xml:space="preserve">Hsy Kiss Hzlnt Pch 33.6g </t>
  </si>
  <si>
    <t>KIS0010</t>
  </si>
  <si>
    <t>Hsy Kiss Hzlnt Pch 100.8g</t>
  </si>
  <si>
    <t>KIS0014</t>
  </si>
  <si>
    <t>Kisses Dark Small</t>
  </si>
  <si>
    <t>KIS0015</t>
  </si>
  <si>
    <t>Kisses Dark Large</t>
  </si>
  <si>
    <t>KIS0026</t>
  </si>
  <si>
    <t>Kisses Cashew Small</t>
  </si>
  <si>
    <t>KIS0025</t>
  </si>
  <si>
    <t>Kisses Cashew Large</t>
  </si>
  <si>
    <t>KIS0029</t>
  </si>
  <si>
    <t>Kisses Filled 45g - Choco truffle</t>
  </si>
  <si>
    <t>Kisses-Filled Strawberry</t>
  </si>
  <si>
    <t>Kisses Filled 45g - Strawberry</t>
  </si>
  <si>
    <t>Total HSY Kisses</t>
  </si>
  <si>
    <t>HED</t>
  </si>
  <si>
    <t>BRK0002</t>
  </si>
  <si>
    <t>Hersheys Exotic blueberry Pch33g</t>
  </si>
  <si>
    <t>Aug'24</t>
  </si>
  <si>
    <t>BRK0001</t>
  </si>
  <si>
    <t>Hersheys Exotic blueberry Pch100g</t>
  </si>
  <si>
    <t>BRK0008</t>
  </si>
  <si>
    <t>Hersheys Exotic raspberry Pch33g</t>
  </si>
  <si>
    <t>BRK0007</t>
  </si>
  <si>
    <t xml:space="preserve">Hersheys Exotic raspberry Pch 100g </t>
  </si>
  <si>
    <t>BRK0010</t>
  </si>
  <si>
    <t xml:space="preserve">Hersheys Exotic Pom Pch33g </t>
  </si>
  <si>
    <t>BRK0009</t>
  </si>
  <si>
    <t xml:space="preserve">Hersheys Exotic Pom Pch 100g </t>
  </si>
  <si>
    <t>BRK0011</t>
  </si>
  <si>
    <t xml:space="preserve">Hersheys Exotic Almond Guava chilly Pch 30g </t>
  </si>
  <si>
    <t>BRK0012</t>
  </si>
  <si>
    <t xml:space="preserve">Hersheys Exotic Almond Guava chilly Pch 90g </t>
  </si>
  <si>
    <t>BRK0013</t>
  </si>
  <si>
    <t xml:space="preserve">Hersheys Exotic Almond blackberry Pch 30g </t>
  </si>
  <si>
    <t>BRK0014</t>
  </si>
  <si>
    <t xml:space="preserve">Hersheys Exotic Almond blackberry Pch 90g </t>
  </si>
  <si>
    <t>Bar</t>
  </si>
  <si>
    <t>HBR0006</t>
  </si>
  <si>
    <t xml:space="preserve">Hersheys Milk Ctn 40g </t>
  </si>
  <si>
    <t>HBR0005</t>
  </si>
  <si>
    <t xml:space="preserve">Hersheys Milk Ctn 100g </t>
  </si>
  <si>
    <t>HBR0002</t>
  </si>
  <si>
    <t xml:space="preserve">Hersheys whole almond Ctn 40g </t>
  </si>
  <si>
    <t>HBR0001</t>
  </si>
  <si>
    <t xml:space="preserve">Hersheys whole almond Ctn 100g </t>
  </si>
  <si>
    <t>HBR0004</t>
  </si>
  <si>
    <t xml:space="preserve">Hersheys C&amp;C Ctn 40g </t>
  </si>
  <si>
    <t>HBR0003</t>
  </si>
  <si>
    <t xml:space="preserve">Hersheys C&amp;C Ctn 100g </t>
  </si>
  <si>
    <t>HBR0008</t>
  </si>
  <si>
    <t xml:space="preserve">Hersheys dark Ctn 40g </t>
  </si>
  <si>
    <t>HBR0007</t>
  </si>
  <si>
    <t xml:space="preserve">Hersheys dark Ctn 100g </t>
  </si>
  <si>
    <t>HBR0010</t>
  </si>
  <si>
    <t xml:space="preserve">Hersheys Coffee Ctn 40g </t>
  </si>
  <si>
    <t>HBR0011</t>
  </si>
  <si>
    <t xml:space="preserve">Hersheys Coffee Ctn 100g </t>
  </si>
  <si>
    <t>Hershey's Bars</t>
  </si>
  <si>
    <t>HBR0009</t>
  </si>
  <si>
    <t xml:space="preserve">Bars Gifting </t>
  </si>
  <si>
    <t>HED Gifting</t>
  </si>
  <si>
    <t>BRK0004</t>
  </si>
  <si>
    <t xml:space="preserve">HsyExDk Ast GftBx 135g </t>
  </si>
  <si>
    <t>BRK0006</t>
  </si>
  <si>
    <t>HsyExDk Ast GftBx 90g</t>
  </si>
  <si>
    <t>BRK0003</t>
  </si>
  <si>
    <t xml:space="preserve">HsyExDk Ast Tin 192g </t>
  </si>
  <si>
    <t>HED Gift Pack</t>
  </si>
  <si>
    <t>Kisses Gifting</t>
  </si>
  <si>
    <t>KIS0005</t>
  </si>
  <si>
    <t xml:space="preserve">Kisses Ast GftBx 129g </t>
  </si>
  <si>
    <t>KIS0006</t>
  </si>
  <si>
    <t xml:space="preserve">Kisses Ast Tin 171g </t>
  </si>
  <si>
    <t>KIS0012</t>
  </si>
  <si>
    <t>Kiss Ast Ctn 103.2g  (Everyday)</t>
  </si>
  <si>
    <t>KIS0018</t>
  </si>
  <si>
    <t>Kiss Sp GftBx 108g Rs399/RIL</t>
  </si>
  <si>
    <t>KIS0024</t>
  </si>
  <si>
    <t>Kiss FstvMmnt Tin Rs599</t>
  </si>
  <si>
    <t>Hershey's Kisses Gifting</t>
  </si>
  <si>
    <t>Jolly Rancher</t>
  </si>
  <si>
    <t>JRP0004</t>
  </si>
  <si>
    <t xml:space="preserve">JRPop Ast Pch 50ct 525g </t>
  </si>
  <si>
    <t>JRP0005</t>
  </si>
  <si>
    <t xml:space="preserve">JRPop Ast Jar 630g </t>
  </si>
  <si>
    <t>JRP0001</t>
  </si>
  <si>
    <t xml:space="preserve">JRPop Ast Jar 1050g </t>
  </si>
  <si>
    <t>JRT0005</t>
  </si>
  <si>
    <t xml:space="preserve">JR Triple Pop 304g </t>
  </si>
  <si>
    <t>JRP0007</t>
  </si>
  <si>
    <t>JR Pop 315g</t>
  </si>
  <si>
    <t>JRP0010</t>
  </si>
  <si>
    <t xml:space="preserve">JR Triple Pop 84g </t>
  </si>
  <si>
    <t>Nutrine</t>
  </si>
  <si>
    <t>NTR0029</t>
  </si>
  <si>
    <t xml:space="preserve">NtrPop Ast Jar 1265g </t>
  </si>
  <si>
    <t>Smartcook</t>
  </si>
  <si>
    <t>SMC0001</t>
  </si>
  <si>
    <t>Puree 200g</t>
  </si>
  <si>
    <t>Choco tubes</t>
  </si>
  <si>
    <t>CHT0002</t>
  </si>
  <si>
    <t>Creamy Milk</t>
  </si>
  <si>
    <t>CHT0001</t>
  </si>
  <si>
    <t xml:space="preserve">CnC </t>
  </si>
  <si>
    <t>Choco Tubes Variant 1</t>
  </si>
  <si>
    <t>Almond</t>
  </si>
  <si>
    <t>Chocodelight</t>
  </si>
  <si>
    <t>HCD0001</t>
  </si>
  <si>
    <t>Choco Delight</t>
  </si>
  <si>
    <t>Oct'25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</si>
</sst>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0.0%"/>
  </numFmts>
  <fonts count="12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theme="1"/>
      <name val="Calibri"/>
      <family val="2"/>
    </font>
    <font>
      <sz val="9"/>
      <color indexed="8"/>
      <name val="Aptos Narrow"/>
      <family val="2"/>
      <scheme val="minor"/>
    </font>
    <font>
      <i/>
      <sz val="9"/>
      <color indexed="8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indexed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65" fontId="0" fillId="0" borderId="0" xfId="1" applyNumberFormat="1" applyFont="1"/>
    <xf numFmtId="0" fontId="3" fillId="3" borderId="0" xfId="3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0" xfId="3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top"/>
    </xf>
    <xf numFmtId="0" fontId="4" fillId="2" borderId="0" xfId="3" applyFont="1" applyFill="1" applyAlignment="1">
      <alignment horizontal="center" vertical="top"/>
    </xf>
    <xf numFmtId="0" fontId="0" fillId="2" borderId="0" xfId="0" applyFill="1" applyAlignment="1">
      <alignment wrapText="1"/>
    </xf>
    <xf numFmtId="0" fontId="4" fillId="4" borderId="0" xfId="3" applyFont="1" applyFill="1" applyAlignment="1">
      <alignment horizontal="center" vertical="center"/>
    </xf>
    <xf numFmtId="2" fontId="5" fillId="0" borderId="0" xfId="0" applyNumberFormat="1" applyFont="1"/>
    <xf numFmtId="2" fontId="0" fillId="0" borderId="0" xfId="0" applyNumberFormat="1"/>
    <xf numFmtId="0" fontId="4" fillId="0" borderId="0" xfId="3" applyFont="1" applyAlignment="1">
      <alignment horizontal="center"/>
    </xf>
    <xf numFmtId="0" fontId="4" fillId="2" borderId="0" xfId="3" applyFont="1" applyFill="1" applyAlignment="1">
      <alignment horizontal="center"/>
    </xf>
    <xf numFmtId="0" fontId="6" fillId="0" borderId="0" xfId="3" quotePrefix="1" applyFont="1" applyAlignment="1">
      <alignment horizontal="center" vertical="top"/>
    </xf>
    <xf numFmtId="0" fontId="6" fillId="2" borderId="0" xfId="3" quotePrefix="1" applyFont="1" applyFill="1" applyAlignment="1">
      <alignment horizontal="center" vertical="top"/>
    </xf>
    <xf numFmtId="0" fontId="7" fillId="0" borderId="0" xfId="3" quotePrefix="1" applyFont="1" applyAlignment="1">
      <alignment vertical="center"/>
    </xf>
    <xf numFmtId="0" fontId="6" fillId="0" borderId="0" xfId="3" quotePrefix="1" applyFont="1" applyAlignment="1">
      <alignment horizontal="center" vertical="center"/>
    </xf>
    <xf numFmtId="0" fontId="8" fillId="0" borderId="0" xfId="3" applyFont="1" applyAlignment="1">
      <alignment horizontal="center" vertical="top"/>
    </xf>
    <xf numFmtId="0" fontId="9" fillId="0" borderId="0" xfId="3" quotePrefix="1" applyFont="1" applyAlignment="1">
      <alignment horizontal="center"/>
    </xf>
    <xf numFmtId="0" fontId="9" fillId="2" borderId="0" xfId="3" quotePrefix="1" applyFont="1" applyFill="1" applyAlignment="1">
      <alignment horizontal="center"/>
    </xf>
    <xf numFmtId="0" fontId="9" fillId="0" borderId="0" xfId="3" quotePrefix="1" applyFont="1" applyAlignment="1">
      <alignment horizontal="center" vertical="center"/>
    </xf>
    <xf numFmtId="164" fontId="4" fillId="0" borderId="0" xfId="1" applyFont="1" applyAlignment="1">
      <alignment horizontal="center" vertical="top"/>
    </xf>
    <xf numFmtId="0" fontId="10" fillId="0" borderId="0" xfId="3" applyFont="1" applyAlignment="1">
      <alignment horizontal="center"/>
    </xf>
    <xf numFmtId="0" fontId="10" fillId="2" borderId="0" xfId="3" applyFont="1" applyFill="1" applyAlignment="1">
      <alignment horizontal="center"/>
    </xf>
    <xf numFmtId="0" fontId="10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top" wrapText="1"/>
    </xf>
    <xf numFmtId="164" fontId="6" fillId="0" borderId="0" xfId="1" quotePrefix="1" applyFont="1" applyAlignment="1">
      <alignment horizontal="center" vertical="top"/>
    </xf>
    <xf numFmtId="0" fontId="4" fillId="4" borderId="0" xfId="3" applyFont="1" applyFill="1" applyAlignment="1">
      <alignment horizontal="center" vertical="top"/>
    </xf>
    <xf numFmtId="166" fontId="0" fillId="0" borderId="0" xfId="2" applyNumberFormat="1" applyFont="1" applyAlignment="1">
      <alignment horizontal="center" vertical="center"/>
    </xf>
    <xf numFmtId="0" fontId="9" fillId="0" borderId="0" xfId="3" quotePrefix="1" applyFont="1" applyAlignment="1">
      <alignment horizontal="center" vertical="top"/>
    </xf>
    <xf numFmtId="0" fontId="9" fillId="2" borderId="0" xfId="3" quotePrefix="1" applyFont="1" applyFill="1" applyAlignment="1">
      <alignment horizontal="center" vertical="top"/>
    </xf>
    <xf numFmtId="0" fontId="6" fillId="0" borderId="0" xfId="3" applyFont="1" applyAlignment="1">
      <alignment horizontal="center" vertical="top"/>
    </xf>
    <xf numFmtId="0" fontId="2" fillId="0" borderId="0" xfId="3" applyAlignment="1">
      <alignment horizontal="center"/>
    </xf>
    <xf numFmtId="0" fontId="2" fillId="2" borderId="0" xfId="3" applyFill="1" applyAlignment="1">
      <alignment horizontal="center"/>
    </xf>
    <xf numFmtId="0" fontId="2" fillId="0" borderId="0" xfId="3" applyAlignment="1">
      <alignment horizontal="center" vertical="center"/>
    </xf>
    <xf numFmtId="0" fontId="6" fillId="2" borderId="0" xfId="3" applyFont="1" applyFill="1" applyAlignment="1">
      <alignment horizontal="center" vertical="top"/>
    </xf>
    <xf numFmtId="0" fontId="11" fillId="0" borderId="0" xfId="3" applyFont="1" applyAlignment="1">
      <alignment horizontal="center"/>
    </xf>
    <xf numFmtId="0" fontId="11" fillId="2" borderId="0" xfId="3" applyFont="1" applyFill="1" applyAlignment="1">
      <alignment horizontal="center"/>
    </xf>
    <xf numFmtId="0" fontId="11" fillId="0" borderId="0" xfId="3" applyFont="1" applyAlignment="1">
      <alignment horizontal="center" vertical="center"/>
    </xf>
    <xf numFmtId="0" fontId="4" fillId="0" borderId="0" xfId="3" quotePrefix="1" applyFont="1" applyAlignment="1">
      <alignment horizontal="center" vertical="top"/>
    </xf>
    <xf numFmtId="0" fontId="4" fillId="2" borderId="0" xfId="3" quotePrefix="1" applyFont="1" applyFill="1" applyAlignment="1">
      <alignment horizontal="center" vertical="top"/>
    </xf>
    <xf numFmtId="0" fontId="4" fillId="0" borderId="0" xfId="3" applyFont="1" applyAlignment="1">
      <alignment horizontal="center" vertical="top"/>
    </xf>
    <xf numFmtId="0" fontId="7" fillId="0" borderId="0" xfId="3" quotePrefix="1" applyFont="1" applyAlignment="1">
      <alignment horizontal="center" vertical="center"/>
    </xf>
    <xf numFmtId="0" fontId="4" fillId="0" borderId="0" xfId="3" applyFont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0" xfId="3" applyFont="1" applyAlignment="1">
      <alignment horizontal="center" vertical="center"/>
    </xf>
  </cellXfs>
  <cellStyles count="4">
    <cellStyle name="Comma" xfId="1" builtinId="3"/>
    <cellStyle name="Normal" xfId="0" builtinId="0"/>
    <cellStyle name="Normal 4" xfId="3" xr:uid="{A9A30522-F77F-4BBA-9BC5-2F2EC7F44D6B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pul\Downloads\Realisation%20Base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w to"/>
      <sheetName val="MRP Master (2)"/>
      <sheetName val="MRP Master"/>
      <sheetName val="Sheet2"/>
      <sheetName val="Working"/>
      <sheetName val="Sheet1"/>
      <sheetName val="SRGM"/>
      <sheetName val="Q2 Sales dump"/>
      <sheetName val="Pricing Summary"/>
      <sheetName val="Check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>
            <v>8.43</v>
          </cell>
          <cell r="AN1">
            <v>0</v>
          </cell>
        </row>
        <row r="2">
          <cell r="AN2" t="str">
            <v>Volume</v>
          </cell>
        </row>
        <row r="3">
          <cell r="B3" t="str">
            <v>PPG code</v>
          </cell>
          <cell r="AN3" t="str">
            <v>Total</v>
          </cell>
        </row>
        <row r="4">
          <cell r="B4" t="str">
            <v>JRP0005</v>
          </cell>
          <cell r="AN4">
            <v>0</v>
          </cell>
        </row>
        <row r="5">
          <cell r="B5" t="str">
            <v>JRP0001</v>
          </cell>
          <cell r="AN5">
            <v>0</v>
          </cell>
        </row>
        <row r="6">
          <cell r="B6" t="str">
            <v>JRP0004</v>
          </cell>
          <cell r="AN6">
            <v>0</v>
          </cell>
        </row>
        <row r="7">
          <cell r="B7" t="str">
            <v>JRP0010</v>
          </cell>
          <cell r="AN7">
            <v>0</v>
          </cell>
        </row>
        <row r="8">
          <cell r="B8" t="str">
            <v>JRP0007</v>
          </cell>
          <cell r="AN8">
            <v>0</v>
          </cell>
        </row>
        <row r="9">
          <cell r="B9" t="str">
            <v>JRT0005</v>
          </cell>
          <cell r="AN9">
            <v>0</v>
          </cell>
        </row>
        <row r="10">
          <cell r="B10" t="str">
            <v>SFT0015</v>
          </cell>
          <cell r="AN10">
            <v>0</v>
          </cell>
        </row>
        <row r="11">
          <cell r="B11" t="str">
            <v>SFT0016</v>
          </cell>
          <cell r="AN11">
            <v>0</v>
          </cell>
        </row>
        <row r="12">
          <cell r="B12" t="str">
            <v>SFT0014</v>
          </cell>
          <cell r="AN12">
            <v>0</v>
          </cell>
        </row>
        <row r="13">
          <cell r="B13" t="str">
            <v>SFT0013</v>
          </cell>
          <cell r="AN13">
            <v>0</v>
          </cell>
        </row>
        <row r="14">
          <cell r="B14" t="str">
            <v>SFT0006</v>
          </cell>
          <cell r="AN14">
            <v>0</v>
          </cell>
        </row>
        <row r="15">
          <cell r="B15" t="str">
            <v>SFT0007</v>
          </cell>
          <cell r="AN15">
            <v>0</v>
          </cell>
        </row>
        <row r="16">
          <cell r="B16" t="str">
            <v>SFT0008</v>
          </cell>
          <cell r="AN16">
            <v>0</v>
          </cell>
        </row>
        <row r="17">
          <cell r="B17" t="str">
            <v>SFT0009</v>
          </cell>
          <cell r="AN17">
            <v>0</v>
          </cell>
        </row>
        <row r="18">
          <cell r="B18" t="str">
            <v>SFT0004</v>
          </cell>
          <cell r="AN18">
            <v>0</v>
          </cell>
        </row>
        <row r="19">
          <cell r="B19" t="str">
            <v>SFT0002</v>
          </cell>
          <cell r="AN19">
            <v>0</v>
          </cell>
        </row>
        <row r="20">
          <cell r="B20" t="str">
            <v>SFT0003</v>
          </cell>
          <cell r="AN20">
            <v>0</v>
          </cell>
        </row>
        <row r="21">
          <cell r="B21" t="str">
            <v>SYP0001</v>
          </cell>
          <cell r="AN21">
            <v>0</v>
          </cell>
        </row>
        <row r="22">
          <cell r="B22" t="str">
            <v>SYP0004</v>
          </cell>
          <cell r="AN22">
            <v>0</v>
          </cell>
        </row>
        <row r="23">
          <cell r="B23" t="str">
            <v>SYP0003</v>
          </cell>
          <cell r="AN23">
            <v>0</v>
          </cell>
        </row>
        <row r="24">
          <cell r="B24" t="str">
            <v>SYP0002</v>
          </cell>
          <cell r="AN24">
            <v>0</v>
          </cell>
        </row>
        <row r="25">
          <cell r="B25" t="str">
            <v>SYP0008</v>
          </cell>
          <cell r="AN25">
            <v>0</v>
          </cell>
        </row>
        <row r="26">
          <cell r="B26" t="str">
            <v>SYP0007</v>
          </cell>
          <cell r="AN26">
            <v>0</v>
          </cell>
        </row>
        <row r="27">
          <cell r="B27" t="str">
            <v>SYP0005</v>
          </cell>
          <cell r="AN27">
            <v>0</v>
          </cell>
        </row>
        <row r="28">
          <cell r="B28" t="str">
            <v>MSH0001</v>
          </cell>
          <cell r="AN28">
            <v>0</v>
          </cell>
        </row>
        <row r="29">
          <cell r="B29" t="str">
            <v>SPR0004</v>
          </cell>
          <cell r="AN29">
            <v>0</v>
          </cell>
        </row>
        <row r="30">
          <cell r="B30" t="str">
            <v>SPR0001</v>
          </cell>
          <cell r="AN30">
            <v>0</v>
          </cell>
        </row>
        <row r="31">
          <cell r="B31" t="str">
            <v>SPR0007</v>
          </cell>
          <cell r="AN31">
            <v>0</v>
          </cell>
        </row>
        <row r="32">
          <cell r="B32" t="str">
            <v>SPR0006</v>
          </cell>
          <cell r="AN32">
            <v>0</v>
          </cell>
        </row>
        <row r="33">
          <cell r="B33" t="str">
            <v>SPR0008</v>
          </cell>
          <cell r="AN33">
            <v>0</v>
          </cell>
        </row>
        <row r="34">
          <cell r="B34" t="str">
            <v>SPR0009</v>
          </cell>
          <cell r="AN34">
            <v>0</v>
          </cell>
        </row>
        <row r="35">
          <cell r="B35" t="str">
            <v>MSH0004</v>
          </cell>
          <cell r="AN35">
            <v>0</v>
          </cell>
        </row>
        <row r="36">
          <cell r="B36" t="str">
            <v>MSH0009</v>
          </cell>
          <cell r="AN36">
            <v>0</v>
          </cell>
        </row>
        <row r="37">
          <cell r="B37" t="str">
            <v>MSH0007</v>
          </cell>
          <cell r="AN37">
            <v>0</v>
          </cell>
        </row>
        <row r="38">
          <cell r="B38" t="str">
            <v>MSH0010</v>
          </cell>
          <cell r="AN38">
            <v>0</v>
          </cell>
        </row>
        <row r="39">
          <cell r="B39" t="str">
            <v>MSH0002</v>
          </cell>
          <cell r="AN39">
            <v>0</v>
          </cell>
        </row>
        <row r="40">
          <cell r="B40" t="str">
            <v>MSH0015</v>
          </cell>
          <cell r="AN40">
            <v>0</v>
          </cell>
        </row>
        <row r="41">
          <cell r="B41" t="str">
            <v>MSH0018</v>
          </cell>
          <cell r="AN41">
            <v>0</v>
          </cell>
        </row>
        <row r="42">
          <cell r="B42" t="str">
            <v>HCO0001</v>
          </cell>
          <cell r="AN42">
            <v>0</v>
          </cell>
        </row>
        <row r="43">
          <cell r="B43" t="str">
            <v>HCO0002</v>
          </cell>
          <cell r="AN43">
            <v>0</v>
          </cell>
        </row>
        <row r="44">
          <cell r="B44" t="str">
            <v>HCO0003</v>
          </cell>
          <cell r="AN44">
            <v>0</v>
          </cell>
        </row>
        <row r="45">
          <cell r="B45" t="str">
            <v>HCO0005</v>
          </cell>
          <cell r="AN45">
            <v>0</v>
          </cell>
        </row>
        <row r="46">
          <cell r="B46" t="str">
            <v>KIS0007</v>
          </cell>
          <cell r="AN46">
            <v>0</v>
          </cell>
        </row>
        <row r="47">
          <cell r="B47" t="str">
            <v>KIS0008</v>
          </cell>
          <cell r="AN47">
            <v>0</v>
          </cell>
        </row>
        <row r="48">
          <cell r="B48" t="str">
            <v>KIS0009</v>
          </cell>
          <cell r="AN48">
            <v>0</v>
          </cell>
        </row>
        <row r="49">
          <cell r="B49" t="str">
            <v>KIS0001</v>
          </cell>
          <cell r="AN49">
            <v>0</v>
          </cell>
        </row>
        <row r="50">
          <cell r="B50" t="str">
            <v>KIS0002</v>
          </cell>
          <cell r="AN50">
            <v>0</v>
          </cell>
        </row>
        <row r="51">
          <cell r="B51" t="str">
            <v>KIS0003</v>
          </cell>
          <cell r="AN51">
            <v>0</v>
          </cell>
        </row>
        <row r="52">
          <cell r="B52" t="str">
            <v>KIS0004</v>
          </cell>
          <cell r="AN52">
            <v>0</v>
          </cell>
        </row>
        <row r="53">
          <cell r="B53" t="str">
            <v>KIS0010</v>
          </cell>
          <cell r="AN53">
            <v>0</v>
          </cell>
        </row>
        <row r="54">
          <cell r="B54" t="str">
            <v>KIS0011</v>
          </cell>
          <cell r="AN54">
            <v>0</v>
          </cell>
        </row>
        <row r="55">
          <cell r="B55" t="str">
            <v>KIS0014</v>
          </cell>
          <cell r="AN55">
            <v>0</v>
          </cell>
        </row>
        <row r="56">
          <cell r="B56" t="str">
            <v>KIS0015</v>
          </cell>
          <cell r="AN56">
            <v>0</v>
          </cell>
        </row>
        <row r="57">
          <cell r="B57" t="str">
            <v>KIS0025</v>
          </cell>
          <cell r="AN57">
            <v>0</v>
          </cell>
        </row>
        <row r="58">
          <cell r="B58" t="str">
            <v>KIS0026</v>
          </cell>
          <cell r="AN58">
            <v>0</v>
          </cell>
        </row>
        <row r="59">
          <cell r="B59" t="str">
            <v>KIS0029</v>
          </cell>
          <cell r="AN59">
            <v>0</v>
          </cell>
        </row>
        <row r="60">
          <cell r="B60" t="str">
            <v>Kisses-Filled Strawberry</v>
          </cell>
          <cell r="AN60">
            <v>0</v>
          </cell>
        </row>
        <row r="61">
          <cell r="B61" t="str">
            <v>KIS0006</v>
          </cell>
          <cell r="AN61">
            <v>0</v>
          </cell>
        </row>
        <row r="62">
          <cell r="B62" t="str">
            <v>KIS0005</v>
          </cell>
          <cell r="AN62">
            <v>0</v>
          </cell>
        </row>
        <row r="63">
          <cell r="B63" t="str">
            <v>KIS0012</v>
          </cell>
          <cell r="AN63">
            <v>0</v>
          </cell>
        </row>
        <row r="64">
          <cell r="B64" t="str">
            <v>KIS0018</v>
          </cell>
          <cell r="AN64">
            <v>0</v>
          </cell>
        </row>
        <row r="65">
          <cell r="B65" t="str">
            <v>KIS0024</v>
          </cell>
          <cell r="AN65">
            <v>0</v>
          </cell>
        </row>
        <row r="66">
          <cell r="B66" t="str">
            <v>BRK0001</v>
          </cell>
          <cell r="AN66">
            <v>0</v>
          </cell>
        </row>
        <row r="67">
          <cell r="B67" t="str">
            <v>BRK0002</v>
          </cell>
          <cell r="AN67">
            <v>0</v>
          </cell>
        </row>
        <row r="68">
          <cell r="B68" t="str">
            <v>BRK0007</v>
          </cell>
          <cell r="AN68">
            <v>0</v>
          </cell>
        </row>
        <row r="69">
          <cell r="B69" t="str">
            <v>BRK0008</v>
          </cell>
          <cell r="AN69">
            <v>0</v>
          </cell>
        </row>
        <row r="70">
          <cell r="B70" t="str">
            <v>BRK0009</v>
          </cell>
          <cell r="AN70">
            <v>0</v>
          </cell>
        </row>
        <row r="71">
          <cell r="B71" t="str">
            <v>BRK0010</v>
          </cell>
          <cell r="AN71">
            <v>0</v>
          </cell>
        </row>
        <row r="72">
          <cell r="B72" t="str">
            <v>BRK0012</v>
          </cell>
          <cell r="AN72">
            <v>0</v>
          </cell>
        </row>
        <row r="73">
          <cell r="B73" t="str">
            <v>BRK0011</v>
          </cell>
          <cell r="AN73">
            <v>0</v>
          </cell>
        </row>
        <row r="74">
          <cell r="B74" t="str">
            <v>BRK0014</v>
          </cell>
          <cell r="AN74">
            <v>0</v>
          </cell>
        </row>
        <row r="75">
          <cell r="B75" t="str">
            <v>BRK0013</v>
          </cell>
          <cell r="AN75">
            <v>0</v>
          </cell>
        </row>
        <row r="76">
          <cell r="B76" t="str">
            <v>BRK0003</v>
          </cell>
          <cell r="AN76">
            <v>0</v>
          </cell>
        </row>
        <row r="77">
          <cell r="B77" t="str">
            <v>BRK0004</v>
          </cell>
          <cell r="AN77">
            <v>0</v>
          </cell>
        </row>
        <row r="78">
          <cell r="B78" t="str">
            <v>BRK0006</v>
          </cell>
          <cell r="AN78">
            <v>0</v>
          </cell>
        </row>
        <row r="79">
          <cell r="B79" t="str">
            <v>HBR0005</v>
          </cell>
          <cell r="AN79">
            <v>0</v>
          </cell>
        </row>
        <row r="80">
          <cell r="B80" t="str">
            <v>HBR0006</v>
          </cell>
          <cell r="AN80">
            <v>0</v>
          </cell>
        </row>
        <row r="81">
          <cell r="B81" t="str">
            <v>HBR0001</v>
          </cell>
          <cell r="AN81">
            <v>0</v>
          </cell>
        </row>
        <row r="82">
          <cell r="B82" t="str">
            <v>HBR0002</v>
          </cell>
          <cell r="AN82">
            <v>0</v>
          </cell>
        </row>
        <row r="83">
          <cell r="B83" t="str">
            <v>HBR0003</v>
          </cell>
          <cell r="AN83">
            <v>0</v>
          </cell>
        </row>
        <row r="84">
          <cell r="B84" t="str">
            <v>HBR0004</v>
          </cell>
          <cell r="AN84">
            <v>0</v>
          </cell>
        </row>
        <row r="85">
          <cell r="B85" t="str">
            <v>HBR0008</v>
          </cell>
          <cell r="AN85">
            <v>0</v>
          </cell>
        </row>
        <row r="86">
          <cell r="B86" t="str">
            <v>HBR0011</v>
          </cell>
          <cell r="AN86">
            <v>0</v>
          </cell>
        </row>
        <row r="87">
          <cell r="B87" t="str">
            <v>HBR0010</v>
          </cell>
          <cell r="AN87">
            <v>0</v>
          </cell>
        </row>
        <row r="88">
          <cell r="B88" t="str">
            <v>HBR0007</v>
          </cell>
          <cell r="AN88">
            <v>0</v>
          </cell>
        </row>
        <row r="89">
          <cell r="B89" t="str">
            <v>HBR0009</v>
          </cell>
          <cell r="AN89">
            <v>0</v>
          </cell>
        </row>
        <row r="90">
          <cell r="B90" t="str">
            <v>CHT0002</v>
          </cell>
          <cell r="AN90">
            <v>0</v>
          </cell>
        </row>
        <row r="91">
          <cell r="B91" t="str">
            <v>CHT0001</v>
          </cell>
          <cell r="AN91">
            <v>0</v>
          </cell>
        </row>
        <row r="92">
          <cell r="B92" t="str">
            <v>Choco Tubes Variant 1</v>
          </cell>
          <cell r="AN92">
            <v>0</v>
          </cell>
        </row>
        <row r="93">
          <cell r="B93" t="str">
            <v>HCD0001</v>
          </cell>
          <cell r="AN93">
            <v>0</v>
          </cell>
        </row>
        <row r="94">
          <cell r="B94" t="str">
            <v>NTR0029</v>
          </cell>
          <cell r="AN94">
            <v>0</v>
          </cell>
        </row>
        <row r="95">
          <cell r="B95" t="str">
            <v>SMC0001</v>
          </cell>
          <cell r="AN95">
            <v>0</v>
          </cell>
        </row>
        <row r="96">
          <cell r="B96" t="str">
            <v>Z3P0001</v>
          </cell>
          <cell r="AN96">
            <v>0</v>
          </cell>
        </row>
        <row r="97">
          <cell r="B97" t="str">
            <v>ZEX0001</v>
          </cell>
          <cell r="AN97">
            <v>0</v>
          </cell>
        </row>
        <row r="100">
          <cell r="B100" t="str">
            <v>Sofit Innovations-new source (Oats)</v>
          </cell>
          <cell r="AN100">
            <v>0</v>
          </cell>
        </row>
        <row r="101">
          <cell r="B101" t="str">
            <v>Omni pack (Minis)</v>
          </cell>
          <cell r="AN101">
            <v>0</v>
          </cell>
        </row>
      </sheetData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osrani, Hiral" id="{03AFCD34-3AE1-4A12-BA5D-AAF94E5997FF}" userId="S::HGosrani@hersheys.com::539c4577-4cd3-4eb7-897f-fe83f93e808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4" dT="2024-08-27T05:59:01.48" personId="{03AFCD34-3AE1-4A12-BA5D-AAF94E5997FF}" id="{E9D64F41-D3AB-4997-BF73-47D865070062}">
    <text>'Choc-Kiss-DrkAlm-36g-Pch for Realization file purpose. Confirmed with Nikita</text>
  </threadedComment>
  <threadedComment ref="C65" dT="2024-08-27T05:59:23.21" personId="{03AFCD34-3AE1-4A12-BA5D-AAF94E5997FF}" id="{6D46C931-097C-494F-BFE8-23128BAC9FE0}">
    <text>'Choc-Kiss-DrkAlm-108g-Pch. Confirmed with Nikita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2B954-0731-405E-ADAB-B8B6A20596D8}">
  <dimension ref="A1:V127"/>
  <sheetViews>
    <sheetView tabSelected="1" zoomScaleNormal="100" workbookViewId="0">
      <pane xSplit="3" ySplit="2" topLeftCell="D3" activePane="bottomRight" state="frozen"/>
      <selection activeCell="F26" sqref="F26"/>
      <selection pane="topRight" activeCell="F26" sqref="F26"/>
      <selection pane="bottomLeft" activeCell="F26" sqref="F26"/>
      <selection pane="bottomRight" activeCell="J11" sqref="J11"/>
    </sheetView>
  </sheetViews>
  <sheetFormatPr defaultRowHeight="15"/>
  <cols>
    <col min="1" max="1" width="15" customWidth="1"/>
    <col min="2" max="2" width="13.140625" customWidth="1"/>
    <col min="3" max="3" width="33.42578125" customWidth="1"/>
    <col min="4" max="4" width="10.140625" customWidth="1"/>
    <col min="5" max="5" width="10.5703125" style="15" customWidth="1"/>
    <col min="6" max="6" width="9.140625" style="15" customWidth="1"/>
    <col min="7" max="7" width="11.5703125" customWidth="1"/>
    <col min="8" max="8" width="0.7109375" style="2" customWidth="1"/>
    <col min="9" max="9" width="15.85546875" style="8" customWidth="1"/>
    <col min="10" max="11" width="9.140625" style="10"/>
    <col min="12" max="12" width="8.42578125" style="11" customWidth="1"/>
    <col min="13" max="13" width="6" style="2" hidden="1" customWidth="1"/>
    <col min="14" max="14" width="11.140625" customWidth="1"/>
    <col min="16" max="16" width="13.42578125" customWidth="1"/>
    <col min="20" max="20" width="11.140625" style="3" bestFit="1" customWidth="1"/>
  </cols>
  <sheetData>
    <row r="1" spans="1:22" ht="14.45" customHeight="1">
      <c r="D1" s="54">
        <v>2025</v>
      </c>
      <c r="E1" s="54"/>
      <c r="F1" s="54"/>
      <c r="G1" s="54"/>
      <c r="H1" s="1"/>
      <c r="I1" s="54">
        <v>2026</v>
      </c>
      <c r="J1" s="54"/>
      <c r="K1" s="54"/>
      <c r="L1" s="54"/>
      <c r="N1" s="54">
        <v>2027</v>
      </c>
      <c r="O1" s="54"/>
      <c r="P1" s="54"/>
      <c r="Q1" s="54"/>
      <c r="T1" s="3">
        <f>SUBTOTAL(9,T3:T1048576)</f>
        <v>0</v>
      </c>
    </row>
    <row r="2" spans="1:22" s="8" customFormat="1" ht="23.45" customHeight="1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6"/>
      <c r="I2" s="5" t="s">
        <v>3</v>
      </c>
      <c r="J2" s="5" t="s">
        <v>4</v>
      </c>
      <c r="K2" s="5" t="s">
        <v>5</v>
      </c>
      <c r="L2" s="5" t="s">
        <v>6</v>
      </c>
      <c r="M2" s="7"/>
      <c r="N2" s="5" t="s">
        <v>3</v>
      </c>
      <c r="O2" s="5" t="s">
        <v>7</v>
      </c>
      <c r="P2" s="5" t="s">
        <v>5</v>
      </c>
      <c r="Q2" s="5" t="s">
        <v>6</v>
      </c>
      <c r="S2" s="9" t="s">
        <v>8</v>
      </c>
      <c r="T2" s="3" t="s">
        <v>9</v>
      </c>
    </row>
    <row r="3" spans="1:22" s="5" customFormat="1">
      <c r="A3" s="55" t="s">
        <v>10</v>
      </c>
      <c r="B3" s="10" t="s">
        <v>11</v>
      </c>
      <c r="C3" s="10" t="s">
        <v>12</v>
      </c>
      <c r="D3" s="10" t="s">
        <v>13</v>
      </c>
      <c r="E3" s="10">
        <v>623</v>
      </c>
      <c r="F3" s="10">
        <v>250</v>
      </c>
      <c r="G3" s="11">
        <f>F3/E3</f>
        <v>0.4012841091492777</v>
      </c>
      <c r="H3" s="12"/>
      <c r="I3" s="10" t="s">
        <v>14</v>
      </c>
      <c r="J3" s="10">
        <v>600</v>
      </c>
      <c r="K3" s="10">
        <f>F3</f>
        <v>250</v>
      </c>
      <c r="L3" s="11">
        <f>K3/J3</f>
        <v>0.41666666666666669</v>
      </c>
      <c r="M3" s="6"/>
      <c r="N3" s="10" t="s">
        <v>15</v>
      </c>
      <c r="O3" s="10">
        <v>600</v>
      </c>
      <c r="P3" s="10">
        <v>260</v>
      </c>
      <c r="Q3" s="11">
        <f>P3/O3</f>
        <v>0.43333333333333335</v>
      </c>
      <c r="S3" s="13">
        <f>Q3/L3-1</f>
        <v>4.0000000000000036E-2</v>
      </c>
      <c r="T3" s="14">
        <f>SUMIFS([1]SRGM!AN:AN,[1]SRGM!B:B,$B3)</f>
        <v>0</v>
      </c>
    </row>
    <row r="4" spans="1:22">
      <c r="A4" s="55"/>
      <c r="B4" s="10" t="s">
        <v>16</v>
      </c>
      <c r="C4" s="15" t="s">
        <v>17</v>
      </c>
      <c r="D4" s="10" t="s">
        <v>13</v>
      </c>
      <c r="E4" s="10">
        <v>623</v>
      </c>
      <c r="F4" s="15">
        <v>265</v>
      </c>
      <c r="G4" s="11">
        <f t="shared" ref="G4:G18" si="0">F4/E4</f>
        <v>0.42536115569823435</v>
      </c>
      <c r="H4" s="16"/>
      <c r="I4" s="10" t="s">
        <v>14</v>
      </c>
      <c r="J4" s="10">
        <v>600</v>
      </c>
      <c r="K4" s="10">
        <f t="shared" ref="K4:K9" si="1">F4</f>
        <v>265</v>
      </c>
      <c r="L4" s="11">
        <f t="shared" ref="L4:L9" si="2">K4/J4</f>
        <v>0.44166666666666665</v>
      </c>
      <c r="N4" s="10" t="s">
        <v>15</v>
      </c>
      <c r="O4" s="10">
        <v>600</v>
      </c>
      <c r="P4" s="10">
        <v>275</v>
      </c>
      <c r="Q4" s="11">
        <f t="shared" ref="Q4:Q9" si="3">P4/O4</f>
        <v>0.45833333333333331</v>
      </c>
      <c r="S4" s="13">
        <f t="shared" ref="S4:S9" si="4">Q4/L4-1</f>
        <v>3.7735849056603765E-2</v>
      </c>
      <c r="T4" s="14">
        <f>SUMIFS([1]SRGM!AN:AN,[1]SRGM!B:B,$B4)</f>
        <v>0</v>
      </c>
      <c r="V4" s="5"/>
    </row>
    <row r="5" spans="1:22">
      <c r="A5" s="55"/>
      <c r="B5" s="10" t="s">
        <v>18</v>
      </c>
      <c r="C5" s="15" t="s">
        <v>19</v>
      </c>
      <c r="D5" s="10" t="s">
        <v>13</v>
      </c>
      <c r="E5" s="10">
        <v>623</v>
      </c>
      <c r="F5" s="15">
        <v>265</v>
      </c>
      <c r="G5" s="11">
        <f t="shared" si="0"/>
        <v>0.42536115569823435</v>
      </c>
      <c r="H5" s="16"/>
      <c r="I5" s="10" t="s">
        <v>14</v>
      </c>
      <c r="J5" s="10">
        <v>600</v>
      </c>
      <c r="K5" s="10">
        <f t="shared" si="1"/>
        <v>265</v>
      </c>
      <c r="L5" s="11">
        <f t="shared" si="2"/>
        <v>0.44166666666666665</v>
      </c>
      <c r="N5" s="10" t="s">
        <v>15</v>
      </c>
      <c r="O5" s="10">
        <v>600</v>
      </c>
      <c r="P5" s="10">
        <v>275</v>
      </c>
      <c r="Q5" s="11">
        <f t="shared" si="3"/>
        <v>0.45833333333333331</v>
      </c>
      <c r="S5" s="13">
        <f t="shared" si="4"/>
        <v>3.7735849056603765E-2</v>
      </c>
      <c r="T5" s="14">
        <f>SUMIFS([1]SRGM!AN:AN,[1]SRGM!B:B,$B5)</f>
        <v>0</v>
      </c>
      <c r="V5" s="5"/>
    </row>
    <row r="6" spans="1:22">
      <c r="A6" s="55"/>
      <c r="B6" s="10" t="s">
        <v>20</v>
      </c>
      <c r="C6" s="15" t="s">
        <v>21</v>
      </c>
      <c r="D6" s="10" t="s">
        <v>13</v>
      </c>
      <c r="E6" s="15">
        <v>200</v>
      </c>
      <c r="F6" s="15">
        <v>110</v>
      </c>
      <c r="G6" s="11">
        <f t="shared" si="0"/>
        <v>0.55000000000000004</v>
      </c>
      <c r="H6" s="16"/>
      <c r="I6" s="10" t="s">
        <v>14</v>
      </c>
      <c r="J6" s="10">
        <v>180</v>
      </c>
      <c r="K6" s="10">
        <f t="shared" si="1"/>
        <v>110</v>
      </c>
      <c r="L6" s="11">
        <f t="shared" si="2"/>
        <v>0.61111111111111116</v>
      </c>
      <c r="N6" s="10" t="s">
        <v>15</v>
      </c>
      <c r="O6" s="10">
        <v>180</v>
      </c>
      <c r="P6" s="10">
        <v>115</v>
      </c>
      <c r="Q6" s="11">
        <f t="shared" si="3"/>
        <v>0.63888888888888884</v>
      </c>
      <c r="S6" s="13">
        <f t="shared" si="4"/>
        <v>4.5454545454545192E-2</v>
      </c>
      <c r="T6" s="14">
        <f>SUMIFS([1]SRGM!AN:AN,[1]SRGM!B:B,$B6)</f>
        <v>0</v>
      </c>
      <c r="V6" s="5"/>
    </row>
    <row r="7" spans="1:22">
      <c r="A7" s="55"/>
      <c r="B7" s="10" t="s">
        <v>22</v>
      </c>
      <c r="C7" s="15" t="s">
        <v>23</v>
      </c>
      <c r="D7" s="10" t="s">
        <v>13</v>
      </c>
      <c r="E7" s="15">
        <v>200</v>
      </c>
      <c r="F7" s="15">
        <v>115</v>
      </c>
      <c r="G7" s="11">
        <f t="shared" si="0"/>
        <v>0.57499999999999996</v>
      </c>
      <c r="H7" s="16"/>
      <c r="I7" s="10" t="s">
        <v>14</v>
      </c>
      <c r="J7" s="10">
        <v>180</v>
      </c>
      <c r="K7" s="10">
        <f t="shared" si="1"/>
        <v>115</v>
      </c>
      <c r="L7" s="11">
        <f t="shared" si="2"/>
        <v>0.63888888888888884</v>
      </c>
      <c r="N7" s="10" t="s">
        <v>15</v>
      </c>
      <c r="O7" s="10">
        <v>180</v>
      </c>
      <c r="P7" s="10">
        <v>120</v>
      </c>
      <c r="Q7" s="11">
        <f t="shared" si="3"/>
        <v>0.66666666666666663</v>
      </c>
      <c r="S7" s="13">
        <f t="shared" si="4"/>
        <v>4.3478260869565188E-2</v>
      </c>
      <c r="T7" s="14">
        <f>SUMIFS([1]SRGM!AN:AN,[1]SRGM!B:B,$B7)</f>
        <v>0</v>
      </c>
      <c r="V7" s="5"/>
    </row>
    <row r="8" spans="1:22">
      <c r="A8" s="55"/>
      <c r="B8" s="10" t="s">
        <v>24</v>
      </c>
      <c r="C8" s="10" t="s">
        <v>25</v>
      </c>
      <c r="D8" s="10" t="s">
        <v>13</v>
      </c>
      <c r="E8" s="15">
        <v>1300</v>
      </c>
      <c r="F8" s="15">
        <v>435</v>
      </c>
      <c r="G8" s="11">
        <f t="shared" si="0"/>
        <v>0.33461538461538459</v>
      </c>
      <c r="H8" s="7"/>
      <c r="I8" s="10" t="s">
        <v>14</v>
      </c>
      <c r="J8" s="10">
        <v>1300</v>
      </c>
      <c r="K8" s="10">
        <v>450</v>
      </c>
      <c r="L8" s="11">
        <f t="shared" si="2"/>
        <v>0.34615384615384615</v>
      </c>
      <c r="M8" s="17"/>
      <c r="N8" s="10"/>
      <c r="O8" s="10">
        <v>1300</v>
      </c>
      <c r="P8" s="18">
        <v>450</v>
      </c>
      <c r="Q8" s="11">
        <f t="shared" si="3"/>
        <v>0.34615384615384615</v>
      </c>
      <c r="S8" s="13">
        <f t="shared" si="4"/>
        <v>0</v>
      </c>
      <c r="T8" s="14">
        <f>SUMIFS([1]SRGM!AN:AN,[1]SRGM!B:B,$B8)</f>
        <v>0</v>
      </c>
      <c r="U8" s="19"/>
      <c r="V8" s="20"/>
    </row>
    <row r="9" spans="1:22">
      <c r="A9" s="55"/>
      <c r="B9" s="10" t="s">
        <v>26</v>
      </c>
      <c r="C9" s="15" t="s">
        <v>27</v>
      </c>
      <c r="D9" s="10" t="s">
        <v>13</v>
      </c>
      <c r="E9" s="15">
        <v>600</v>
      </c>
      <c r="F9" s="15">
        <v>200</v>
      </c>
      <c r="G9" s="11">
        <f t="shared" si="0"/>
        <v>0.33333333333333331</v>
      </c>
      <c r="H9" s="16"/>
      <c r="I9" s="10" t="s">
        <v>14</v>
      </c>
      <c r="J9" s="10">
        <v>600</v>
      </c>
      <c r="K9" s="10">
        <f t="shared" si="1"/>
        <v>200</v>
      </c>
      <c r="L9" s="11">
        <f t="shared" si="2"/>
        <v>0.33333333333333331</v>
      </c>
      <c r="N9" s="10"/>
      <c r="O9" s="10">
        <v>600</v>
      </c>
      <c r="P9" s="10">
        <v>200</v>
      </c>
      <c r="Q9" s="11">
        <f t="shared" si="3"/>
        <v>0.33333333333333331</v>
      </c>
      <c r="S9" s="13">
        <f t="shared" si="4"/>
        <v>0</v>
      </c>
      <c r="T9" s="14">
        <f>SUMIFS([1]SRGM!AN:AN,[1]SRGM!B:B,$B9)</f>
        <v>0</v>
      </c>
      <c r="U9" s="19"/>
      <c r="V9" s="5"/>
    </row>
    <row r="10" spans="1:22">
      <c r="A10" s="21"/>
      <c r="B10" s="21"/>
      <c r="C10" s="21"/>
      <c r="D10" s="21"/>
      <c r="G10" s="21"/>
      <c r="H10" s="22"/>
      <c r="I10" s="10"/>
      <c r="J10"/>
      <c r="K10"/>
      <c r="L10"/>
      <c r="T10"/>
    </row>
    <row r="11" spans="1:22">
      <c r="A11" s="21" t="s">
        <v>28</v>
      </c>
      <c r="B11" s="21" t="s">
        <v>29</v>
      </c>
      <c r="C11" s="21" t="s">
        <v>30</v>
      </c>
      <c r="D11" s="21"/>
      <c r="G11" s="21"/>
      <c r="H11" s="22"/>
      <c r="I11" s="10"/>
      <c r="J11"/>
      <c r="K11"/>
      <c r="L11"/>
      <c r="T11" s="14">
        <f>SUMIFS([1]SRGM!AN:AN,[1]SRGM!B:B,$B11)</f>
        <v>0</v>
      </c>
      <c r="V11" s="5"/>
    </row>
    <row r="12" spans="1:22">
      <c r="A12" s="21"/>
      <c r="B12" s="21"/>
      <c r="C12" s="21"/>
      <c r="D12" s="21"/>
      <c r="G12" s="21"/>
      <c r="H12" s="22"/>
      <c r="I12" s="10"/>
      <c r="J12"/>
      <c r="K12"/>
      <c r="L12"/>
      <c r="T12"/>
    </row>
    <row r="13" spans="1:22">
      <c r="A13" s="51" t="s">
        <v>31</v>
      </c>
      <c r="B13" s="15" t="s">
        <v>32</v>
      </c>
      <c r="C13" s="23" t="s">
        <v>33</v>
      </c>
      <c r="D13" s="10" t="s">
        <v>34</v>
      </c>
      <c r="E13" s="15">
        <v>650</v>
      </c>
      <c r="F13" s="15">
        <v>570</v>
      </c>
      <c r="G13" s="11">
        <f t="shared" si="0"/>
        <v>0.87692307692307692</v>
      </c>
      <c r="H13" s="24"/>
      <c r="I13" s="25" t="s">
        <v>35</v>
      </c>
      <c r="J13" s="25"/>
      <c r="K13" s="25"/>
      <c r="L13" s="25"/>
      <c r="N13" s="25" t="s">
        <v>35</v>
      </c>
      <c r="O13" s="25"/>
      <c r="P13" s="25"/>
      <c r="Q13" s="25"/>
      <c r="T13" s="14">
        <f>SUMIFS([1]SRGM!AN:AN,[1]SRGM!B:B,$B13)</f>
        <v>0</v>
      </c>
      <c r="V13" s="5"/>
    </row>
    <row r="14" spans="1:22">
      <c r="A14" s="51"/>
      <c r="B14" s="15" t="s">
        <v>36</v>
      </c>
      <c r="C14" s="23" t="s">
        <v>37</v>
      </c>
      <c r="D14" s="10" t="s">
        <v>34</v>
      </c>
      <c r="E14" s="15">
        <v>350</v>
      </c>
      <c r="F14" s="15">
        <v>340</v>
      </c>
      <c r="G14" s="11">
        <f t="shared" si="0"/>
        <v>0.97142857142857142</v>
      </c>
      <c r="H14" s="24"/>
      <c r="I14" s="26"/>
      <c r="J14" s="10">
        <f t="shared" ref="J14:K18" si="5">E14</f>
        <v>350</v>
      </c>
      <c r="K14" s="10">
        <f t="shared" si="5"/>
        <v>340</v>
      </c>
      <c r="L14" s="11">
        <f t="shared" ref="L14:L18" si="6">K14/J14</f>
        <v>0.97142857142857142</v>
      </c>
      <c r="N14" s="10" t="s">
        <v>38</v>
      </c>
      <c r="O14">
        <v>350</v>
      </c>
      <c r="P14">
        <v>350</v>
      </c>
      <c r="Q14" s="11">
        <f t="shared" ref="Q14:Q18" si="7">P14/O14</f>
        <v>1</v>
      </c>
      <c r="S14" s="13">
        <f t="shared" ref="S14:S18" si="8">Q14/L14-1</f>
        <v>2.941176470588247E-2</v>
      </c>
      <c r="T14" s="14">
        <f>SUMIFS([1]SRGM!AN:AN,[1]SRGM!B:B,$B14)</f>
        <v>0</v>
      </c>
      <c r="V14" s="5"/>
    </row>
    <row r="15" spans="1:22">
      <c r="A15" s="51"/>
      <c r="B15" s="15" t="s">
        <v>39</v>
      </c>
      <c r="C15" s="23" t="s">
        <v>40</v>
      </c>
      <c r="D15" s="10" t="s">
        <v>34</v>
      </c>
      <c r="E15" s="15">
        <v>350</v>
      </c>
      <c r="F15" s="15">
        <v>340</v>
      </c>
      <c r="G15" s="11">
        <f t="shared" si="0"/>
        <v>0.97142857142857142</v>
      </c>
      <c r="H15" s="24"/>
      <c r="I15" s="26"/>
      <c r="J15" s="10">
        <f t="shared" si="5"/>
        <v>350</v>
      </c>
      <c r="K15" s="10">
        <f t="shared" si="5"/>
        <v>340</v>
      </c>
      <c r="L15" s="11">
        <f t="shared" si="6"/>
        <v>0.97142857142857142</v>
      </c>
      <c r="N15" s="10" t="s">
        <v>38</v>
      </c>
      <c r="O15">
        <v>350</v>
      </c>
      <c r="P15">
        <v>350</v>
      </c>
      <c r="Q15" s="11">
        <f t="shared" si="7"/>
        <v>1</v>
      </c>
      <c r="S15" s="13">
        <f t="shared" si="8"/>
        <v>2.941176470588247E-2</v>
      </c>
      <c r="T15" s="14">
        <f>SUMIFS([1]SRGM!AN:AN,[1]SRGM!B:B,$B15)</f>
        <v>0</v>
      </c>
      <c r="V15" s="5"/>
    </row>
    <row r="16" spans="1:22">
      <c r="A16" s="51"/>
      <c r="B16" s="15" t="s">
        <v>41</v>
      </c>
      <c r="C16" s="23" t="s">
        <v>42</v>
      </c>
      <c r="D16" s="10" t="s">
        <v>34</v>
      </c>
      <c r="E16" s="15">
        <v>350</v>
      </c>
      <c r="F16" s="15">
        <v>375</v>
      </c>
      <c r="G16" s="11">
        <f t="shared" si="0"/>
        <v>1.0714285714285714</v>
      </c>
      <c r="H16" s="24"/>
      <c r="I16" s="26" t="s">
        <v>43</v>
      </c>
      <c r="J16" s="10">
        <f t="shared" si="5"/>
        <v>350</v>
      </c>
      <c r="K16" s="10">
        <v>399</v>
      </c>
      <c r="L16" s="11">
        <f t="shared" si="6"/>
        <v>1.1399999999999999</v>
      </c>
      <c r="N16" s="10" t="s">
        <v>38</v>
      </c>
      <c r="O16">
        <v>350</v>
      </c>
      <c r="P16">
        <v>399</v>
      </c>
      <c r="Q16" s="11">
        <f t="shared" si="7"/>
        <v>1.1399999999999999</v>
      </c>
      <c r="S16" s="13">
        <f t="shared" si="8"/>
        <v>0</v>
      </c>
      <c r="T16" s="14">
        <f>SUMIFS([1]SRGM!AN:AN,[1]SRGM!B:B,$B16)</f>
        <v>0</v>
      </c>
      <c r="V16" s="5"/>
    </row>
    <row r="17" spans="1:22">
      <c r="A17" s="51"/>
      <c r="B17" s="15" t="s">
        <v>44</v>
      </c>
      <c r="C17" s="23" t="s">
        <v>45</v>
      </c>
      <c r="D17" s="10" t="s">
        <v>34</v>
      </c>
      <c r="E17" s="15">
        <v>150</v>
      </c>
      <c r="F17" s="15">
        <v>185</v>
      </c>
      <c r="G17" s="11">
        <f t="shared" si="0"/>
        <v>1.2333333333333334</v>
      </c>
      <c r="H17" s="24"/>
      <c r="I17" s="26"/>
      <c r="J17" s="10">
        <f t="shared" si="5"/>
        <v>150</v>
      </c>
      <c r="K17" s="10">
        <f t="shared" si="5"/>
        <v>185</v>
      </c>
      <c r="L17" s="11">
        <f t="shared" si="6"/>
        <v>1.2333333333333334</v>
      </c>
      <c r="N17" s="10" t="s">
        <v>38</v>
      </c>
      <c r="O17">
        <v>150</v>
      </c>
      <c r="P17">
        <v>195</v>
      </c>
      <c r="Q17" s="11">
        <f t="shared" si="7"/>
        <v>1.3</v>
      </c>
      <c r="S17" s="13">
        <f t="shared" si="8"/>
        <v>5.4054054054053946E-2</v>
      </c>
      <c r="T17" s="14">
        <f>SUMIFS([1]SRGM!AN:AN,[1]SRGM!B:B,$B17)</f>
        <v>0</v>
      </c>
      <c r="V17" s="5"/>
    </row>
    <row r="18" spans="1:22">
      <c r="A18" s="51"/>
      <c r="B18" s="15" t="s">
        <v>46</v>
      </c>
      <c r="C18" s="23" t="s">
        <v>47</v>
      </c>
      <c r="D18" s="10" t="s">
        <v>34</v>
      </c>
      <c r="E18" s="15">
        <v>150</v>
      </c>
      <c r="F18" s="15">
        <v>185</v>
      </c>
      <c r="G18" s="11">
        <f t="shared" si="0"/>
        <v>1.2333333333333334</v>
      </c>
      <c r="H18" s="24"/>
      <c r="I18" s="26"/>
      <c r="J18" s="10">
        <f t="shared" si="5"/>
        <v>150</v>
      </c>
      <c r="K18" s="10">
        <f t="shared" si="5"/>
        <v>185</v>
      </c>
      <c r="L18" s="11">
        <f t="shared" si="6"/>
        <v>1.2333333333333334</v>
      </c>
      <c r="N18" s="10" t="s">
        <v>38</v>
      </c>
      <c r="O18">
        <v>150</v>
      </c>
      <c r="P18">
        <v>195</v>
      </c>
      <c r="Q18" s="11">
        <f t="shared" si="7"/>
        <v>1.3</v>
      </c>
      <c r="S18" s="13">
        <f t="shared" si="8"/>
        <v>5.4054054054053946E-2</v>
      </c>
      <c r="T18" s="14">
        <f>SUMIFS([1]SRGM!AN:AN,[1]SRGM!B:B,$B18)</f>
        <v>0</v>
      </c>
      <c r="V18" s="5"/>
    </row>
    <row r="19" spans="1:22">
      <c r="A19" s="27"/>
      <c r="B19" s="27"/>
      <c r="C19" s="28" t="s">
        <v>31</v>
      </c>
      <c r="D19" s="28"/>
      <c r="G19" s="28"/>
      <c r="H19" s="29"/>
      <c r="I19" s="30"/>
      <c r="L19"/>
      <c r="T19"/>
    </row>
    <row r="20" spans="1:22">
      <c r="A20" s="21"/>
      <c r="B20" s="21"/>
      <c r="C20" s="21"/>
      <c r="D20" s="21"/>
      <c r="G20" s="21"/>
      <c r="H20" s="22"/>
      <c r="I20" s="10"/>
      <c r="L20"/>
      <c r="T20"/>
    </row>
    <row r="21" spans="1:22">
      <c r="A21" s="51" t="s">
        <v>48</v>
      </c>
      <c r="B21" s="15" t="s">
        <v>49</v>
      </c>
      <c r="C21" s="15" t="s">
        <v>50</v>
      </c>
      <c r="D21" s="15" t="s">
        <v>13</v>
      </c>
      <c r="E21" s="15">
        <v>70</v>
      </c>
      <c r="F21" s="15">
        <v>130</v>
      </c>
      <c r="G21" s="31">
        <f>F21/E21</f>
        <v>1.8571428571428572</v>
      </c>
      <c r="H21" s="16"/>
      <c r="I21" s="10" t="s">
        <v>51</v>
      </c>
      <c r="J21" s="10">
        <f>E21</f>
        <v>70</v>
      </c>
      <c r="K21" s="10">
        <v>140</v>
      </c>
      <c r="L21" s="11">
        <f t="shared" ref="L21:L24" si="9">K21/J21</f>
        <v>2</v>
      </c>
      <c r="N21" s="10"/>
      <c r="T21" s="14"/>
      <c r="V21" s="5"/>
    </row>
    <row r="22" spans="1:22">
      <c r="A22" s="51"/>
      <c r="B22" s="15" t="s">
        <v>49</v>
      </c>
      <c r="C22" s="15" t="s">
        <v>50</v>
      </c>
      <c r="D22" s="15"/>
      <c r="G22" s="31"/>
      <c r="H22" s="16"/>
      <c r="I22" s="10" t="s">
        <v>14</v>
      </c>
      <c r="J22" s="10">
        <f>J21</f>
        <v>70</v>
      </c>
      <c r="K22" s="10">
        <v>160</v>
      </c>
      <c r="L22" s="11">
        <f t="shared" si="9"/>
        <v>2.2857142857142856</v>
      </c>
      <c r="N22" s="10" t="s">
        <v>15</v>
      </c>
      <c r="O22">
        <v>65</v>
      </c>
      <c r="P22">
        <f>K22</f>
        <v>160</v>
      </c>
      <c r="Q22" s="11">
        <f t="shared" ref="Q22:Q24" si="10">P22/O22</f>
        <v>2.4615384615384617</v>
      </c>
      <c r="S22" s="13">
        <f t="shared" ref="S22:S24" si="11">Q22/L22-1</f>
        <v>7.6923076923077094E-2</v>
      </c>
      <c r="T22" s="14">
        <f>SUMIFS([1]SRGM!AN:AN,[1]SRGM!B:B,$B22)</f>
        <v>0</v>
      </c>
      <c r="V22" s="5"/>
    </row>
    <row r="23" spans="1:22">
      <c r="A23" s="51"/>
      <c r="B23" s="15" t="s">
        <v>52</v>
      </c>
      <c r="C23" s="15" t="s">
        <v>53</v>
      </c>
      <c r="D23" s="15" t="s">
        <v>13</v>
      </c>
      <c r="E23" s="15">
        <v>225</v>
      </c>
      <c r="F23" s="15">
        <v>360</v>
      </c>
      <c r="G23" s="31">
        <f>F23/E23</f>
        <v>1.6</v>
      </c>
      <c r="H23" s="16"/>
      <c r="I23" s="10" t="s">
        <v>51</v>
      </c>
      <c r="J23" s="10">
        <f>E23</f>
        <v>225</v>
      </c>
      <c r="K23" s="10">
        <v>395</v>
      </c>
      <c r="L23" s="11">
        <f t="shared" si="9"/>
        <v>1.7555555555555555</v>
      </c>
      <c r="N23" s="10"/>
      <c r="T23" s="14"/>
      <c r="V23" s="5"/>
    </row>
    <row r="24" spans="1:22">
      <c r="A24" s="51"/>
      <c r="B24" s="15" t="s">
        <v>52</v>
      </c>
      <c r="C24" s="15" t="s">
        <v>53</v>
      </c>
      <c r="D24" s="15"/>
      <c r="G24" s="15"/>
      <c r="H24" s="16"/>
      <c r="I24" s="10" t="s">
        <v>14</v>
      </c>
      <c r="J24" s="10">
        <f>J23</f>
        <v>225</v>
      </c>
      <c r="K24" s="10">
        <v>399</v>
      </c>
      <c r="L24" s="11">
        <f t="shared" si="9"/>
        <v>1.7733333333333334</v>
      </c>
      <c r="N24" s="10" t="s">
        <v>15</v>
      </c>
      <c r="O24">
        <v>205</v>
      </c>
      <c r="P24">
        <f>K24</f>
        <v>399</v>
      </c>
      <c r="Q24" s="11">
        <f t="shared" si="10"/>
        <v>1.9463414634146341</v>
      </c>
      <c r="S24" s="13">
        <f t="shared" si="11"/>
        <v>9.7560975609755962E-2</v>
      </c>
      <c r="T24" s="14">
        <f>SUMIFS([1]SRGM!AN:AN,[1]SRGM!B:B,$B24)</f>
        <v>0</v>
      </c>
      <c r="V24" s="5"/>
    </row>
    <row r="25" spans="1:22">
      <c r="A25" s="51"/>
      <c r="B25" s="15"/>
      <c r="C25" s="32" t="s">
        <v>54</v>
      </c>
      <c r="D25" s="32"/>
      <c r="G25" s="32"/>
      <c r="H25" s="33"/>
      <c r="I25" s="34"/>
      <c r="L25"/>
      <c r="T25"/>
    </row>
    <row r="26" spans="1:22">
      <c r="A26" s="15"/>
      <c r="B26" s="15"/>
      <c r="C26" s="15"/>
      <c r="D26" s="15"/>
      <c r="G26" s="15"/>
      <c r="H26" s="16"/>
      <c r="I26" s="10"/>
      <c r="L26"/>
      <c r="T26"/>
    </row>
    <row r="27" spans="1:22">
      <c r="A27" s="53" t="s">
        <v>55</v>
      </c>
      <c r="B27" s="35" t="s">
        <v>56</v>
      </c>
      <c r="C27" s="23" t="s">
        <v>57</v>
      </c>
      <c r="D27" s="23" t="s">
        <v>58</v>
      </c>
      <c r="E27" s="15">
        <v>250</v>
      </c>
      <c r="F27" s="15">
        <v>235</v>
      </c>
      <c r="G27" s="23">
        <f>F27/E27</f>
        <v>0.94</v>
      </c>
      <c r="H27" s="24"/>
      <c r="I27" s="10" t="s">
        <v>51</v>
      </c>
      <c r="J27" s="10">
        <f>E27</f>
        <v>250</v>
      </c>
      <c r="K27" s="10">
        <v>280</v>
      </c>
      <c r="L27" s="11">
        <f>K27/J27</f>
        <v>1.1200000000000001</v>
      </c>
      <c r="V27" s="5"/>
    </row>
    <row r="28" spans="1:22">
      <c r="A28" s="53"/>
      <c r="B28" s="35" t="s">
        <v>56</v>
      </c>
      <c r="C28" s="23" t="s">
        <v>57</v>
      </c>
      <c r="D28" s="23"/>
      <c r="G28" s="23"/>
      <c r="H28" s="24"/>
      <c r="I28" s="10" t="s">
        <v>14</v>
      </c>
      <c r="J28" s="10">
        <f>J27</f>
        <v>250</v>
      </c>
      <c r="K28" s="10">
        <v>300</v>
      </c>
      <c r="L28" s="11">
        <f>K28/J28</f>
        <v>1.2</v>
      </c>
      <c r="N28" s="10" t="s">
        <v>15</v>
      </c>
      <c r="O28">
        <v>225</v>
      </c>
      <c r="P28">
        <f>K28</f>
        <v>300</v>
      </c>
      <c r="Q28" s="11">
        <f t="shared" ref="Q28" si="12">P28/O28</f>
        <v>1.3333333333333333</v>
      </c>
      <c r="S28" s="13">
        <f t="shared" ref="S28:S38" si="13">Q28/L28-1</f>
        <v>0.11111111111111116</v>
      </c>
      <c r="T28" s="14">
        <f>SUMIFS([1]SRGM!AN:AN,[1]SRGM!B:B,$B28)</f>
        <v>0</v>
      </c>
      <c r="V28" s="5"/>
    </row>
    <row r="29" spans="1:22">
      <c r="A29" s="53"/>
      <c r="B29" s="35" t="s">
        <v>59</v>
      </c>
      <c r="C29" s="23" t="s">
        <v>60</v>
      </c>
      <c r="D29" s="23" t="s">
        <v>61</v>
      </c>
      <c r="E29" s="23" t="s">
        <v>61</v>
      </c>
      <c r="F29" s="23" t="s">
        <v>61</v>
      </c>
      <c r="G29" s="23" t="s">
        <v>61</v>
      </c>
      <c r="H29" s="24"/>
      <c r="I29" s="26" t="s">
        <v>62</v>
      </c>
      <c r="J29" s="10">
        <v>110</v>
      </c>
      <c r="K29" s="10">
        <v>135</v>
      </c>
      <c r="L29" s="11">
        <f>K29/J29</f>
        <v>1.2272727272727273</v>
      </c>
      <c r="N29" s="10"/>
      <c r="Q29" s="11"/>
      <c r="S29" s="13"/>
      <c r="V29" s="5"/>
    </row>
    <row r="30" spans="1:22">
      <c r="A30" s="53"/>
      <c r="B30" s="35" t="s">
        <v>59</v>
      </c>
      <c r="C30" s="23" t="s">
        <v>60</v>
      </c>
      <c r="D30" s="15"/>
      <c r="G30" s="15"/>
      <c r="H30" s="16"/>
      <c r="I30" s="10" t="s">
        <v>63</v>
      </c>
      <c r="J30" s="10">
        <v>110</v>
      </c>
      <c r="K30" s="10">
        <v>150</v>
      </c>
      <c r="L30" s="11">
        <f>K30/J30</f>
        <v>1.3636363636363635</v>
      </c>
      <c r="N30" s="10" t="s">
        <v>15</v>
      </c>
      <c r="O30">
        <v>100</v>
      </c>
      <c r="P30">
        <v>150</v>
      </c>
      <c r="Q30" s="11">
        <f t="shared" ref="Q30" si="14">P30/O30</f>
        <v>1.5</v>
      </c>
      <c r="S30" s="13">
        <f t="shared" si="13"/>
        <v>0.10000000000000009</v>
      </c>
      <c r="T30" s="14">
        <f>SUMIFS([1]SRGM!AN:AN,[1]SRGM!B:B,$B30)</f>
        <v>0</v>
      </c>
      <c r="V30" s="5"/>
    </row>
    <row r="31" spans="1:22">
      <c r="A31" s="21"/>
      <c r="B31" s="21"/>
      <c r="C31" s="21"/>
      <c r="D31" s="21"/>
      <c r="G31" s="21"/>
      <c r="H31" s="22"/>
      <c r="I31" s="10"/>
      <c r="T31"/>
    </row>
    <row r="32" spans="1:22">
      <c r="A32" s="51" t="s">
        <v>64</v>
      </c>
      <c r="B32" s="15" t="s">
        <v>65</v>
      </c>
      <c r="C32" s="23" t="s">
        <v>66</v>
      </c>
      <c r="D32" s="23" t="s">
        <v>61</v>
      </c>
      <c r="E32" s="15">
        <v>180</v>
      </c>
      <c r="F32" s="15">
        <v>40</v>
      </c>
      <c r="G32" s="36">
        <f>F32/E32</f>
        <v>0.22222222222222221</v>
      </c>
      <c r="H32" s="24"/>
      <c r="I32" s="23"/>
      <c r="J32" s="15">
        <v>180</v>
      </c>
      <c r="K32" s="15">
        <v>40</v>
      </c>
      <c r="L32" s="36">
        <f>K32/J32</f>
        <v>0.22222222222222221</v>
      </c>
      <c r="N32" s="23"/>
      <c r="O32" s="15">
        <v>180</v>
      </c>
      <c r="P32" s="15">
        <v>40</v>
      </c>
      <c r="Q32" s="36">
        <f>P32/O32</f>
        <v>0.22222222222222221</v>
      </c>
      <c r="S32" s="13">
        <f t="shared" si="13"/>
        <v>0</v>
      </c>
      <c r="T32" s="14">
        <f>SUMIFS([1]SRGM!AN:AN,[1]SRGM!B:B,$B32)</f>
        <v>0</v>
      </c>
      <c r="V32" s="5"/>
    </row>
    <row r="33" spans="1:22">
      <c r="A33" s="51"/>
      <c r="B33" s="15" t="s">
        <v>67</v>
      </c>
      <c r="C33" s="23" t="s">
        <v>68</v>
      </c>
      <c r="D33" s="23" t="s">
        <v>61</v>
      </c>
      <c r="E33" s="15">
        <v>180</v>
      </c>
      <c r="F33" s="15">
        <v>40</v>
      </c>
      <c r="G33" s="36">
        <f t="shared" ref="G33:G38" si="15">F33/E33</f>
        <v>0.22222222222222221</v>
      </c>
      <c r="H33" s="24"/>
      <c r="I33" s="23"/>
      <c r="J33" s="15">
        <v>180</v>
      </c>
      <c r="K33" s="15">
        <v>40</v>
      </c>
      <c r="L33" s="36">
        <f t="shared" ref="L33:L38" si="16">K33/J33</f>
        <v>0.22222222222222221</v>
      </c>
      <c r="N33" s="23"/>
      <c r="O33" s="15">
        <v>180</v>
      </c>
      <c r="P33" s="15">
        <v>40</v>
      </c>
      <c r="Q33" s="36">
        <f t="shared" ref="Q33:Q38" si="17">P33/O33</f>
        <v>0.22222222222222221</v>
      </c>
      <c r="S33" s="13">
        <f t="shared" si="13"/>
        <v>0</v>
      </c>
      <c r="T33" s="14">
        <f>SUMIFS([1]SRGM!AN:AN,[1]SRGM!B:B,$B33)</f>
        <v>0</v>
      </c>
      <c r="V33" s="5"/>
    </row>
    <row r="34" spans="1:22">
      <c r="A34" s="51"/>
      <c r="B34" s="15" t="s">
        <v>69</v>
      </c>
      <c r="C34" s="23" t="s">
        <v>70</v>
      </c>
      <c r="D34" s="23" t="s">
        <v>61</v>
      </c>
      <c r="E34" s="15">
        <v>180</v>
      </c>
      <c r="F34" s="15">
        <v>40</v>
      </c>
      <c r="G34" s="36">
        <f t="shared" si="15"/>
        <v>0.22222222222222221</v>
      </c>
      <c r="H34" s="24"/>
      <c r="I34" s="23"/>
      <c r="J34" s="15">
        <v>180</v>
      </c>
      <c r="K34" s="15">
        <v>40</v>
      </c>
      <c r="L34" s="36">
        <f t="shared" si="16"/>
        <v>0.22222222222222221</v>
      </c>
      <c r="N34" s="23"/>
      <c r="O34" s="15">
        <v>180</v>
      </c>
      <c r="P34" s="15">
        <v>40</v>
      </c>
      <c r="Q34" s="36">
        <f t="shared" si="17"/>
        <v>0.22222222222222221</v>
      </c>
      <c r="S34" s="13">
        <f t="shared" si="13"/>
        <v>0</v>
      </c>
      <c r="T34" s="14">
        <f>SUMIFS([1]SRGM!AN:AN,[1]SRGM!B:B,$B34)</f>
        <v>0</v>
      </c>
      <c r="V34" s="5"/>
    </row>
    <row r="35" spans="1:22">
      <c r="A35" s="51"/>
      <c r="B35" s="15" t="s">
        <v>71</v>
      </c>
      <c r="C35" s="23" t="s">
        <v>72</v>
      </c>
      <c r="D35" s="23" t="s">
        <v>61</v>
      </c>
      <c r="E35" s="15">
        <v>180</v>
      </c>
      <c r="F35" s="15">
        <v>40</v>
      </c>
      <c r="G35" s="36">
        <f t="shared" si="15"/>
        <v>0.22222222222222221</v>
      </c>
      <c r="H35" s="24"/>
      <c r="I35" s="23"/>
      <c r="J35" s="15">
        <v>180</v>
      </c>
      <c r="K35" s="15">
        <v>40</v>
      </c>
      <c r="L35" s="36">
        <f t="shared" si="16"/>
        <v>0.22222222222222221</v>
      </c>
      <c r="N35" s="23"/>
      <c r="O35" s="15">
        <v>180</v>
      </c>
      <c r="P35" s="15">
        <v>40</v>
      </c>
      <c r="Q35" s="36">
        <f t="shared" si="17"/>
        <v>0.22222222222222221</v>
      </c>
      <c r="S35" s="13">
        <f t="shared" si="13"/>
        <v>0</v>
      </c>
      <c r="T35" s="14">
        <f>SUMIFS([1]SRGM!AN:AN,[1]SRGM!B:B,$B35)</f>
        <v>0</v>
      </c>
      <c r="V35" s="5"/>
    </row>
    <row r="36" spans="1:22">
      <c r="A36" s="51"/>
      <c r="B36" s="15" t="s">
        <v>73</v>
      </c>
      <c r="C36" s="23" t="s">
        <v>74</v>
      </c>
      <c r="D36" s="23" t="s">
        <v>61</v>
      </c>
      <c r="E36" s="15">
        <v>180</v>
      </c>
      <c r="F36" s="15">
        <v>40</v>
      </c>
      <c r="G36" s="36">
        <f t="shared" si="15"/>
        <v>0.22222222222222221</v>
      </c>
      <c r="H36" s="24"/>
      <c r="I36" s="23"/>
      <c r="J36" s="15">
        <v>180</v>
      </c>
      <c r="K36" s="15">
        <v>40</v>
      </c>
      <c r="L36" s="36">
        <f t="shared" si="16"/>
        <v>0.22222222222222221</v>
      </c>
      <c r="N36" s="23"/>
      <c r="O36" s="15">
        <v>180</v>
      </c>
      <c r="P36" s="15">
        <v>40</v>
      </c>
      <c r="Q36" s="36">
        <f t="shared" si="17"/>
        <v>0.22222222222222221</v>
      </c>
      <c r="S36" s="13">
        <f t="shared" si="13"/>
        <v>0</v>
      </c>
      <c r="T36" s="14">
        <f>SUMIFS([1]SRGM!AN:AN,[1]SRGM!B:B,$B36)</f>
        <v>0</v>
      </c>
      <c r="V36" s="5"/>
    </row>
    <row r="37" spans="1:22">
      <c r="A37" s="51"/>
      <c r="B37" s="15" t="s">
        <v>75</v>
      </c>
      <c r="C37" s="23" t="s">
        <v>76</v>
      </c>
      <c r="D37" s="23" t="s">
        <v>61</v>
      </c>
      <c r="E37" s="15">
        <v>180</v>
      </c>
      <c r="F37" s="15">
        <v>40</v>
      </c>
      <c r="G37" s="36">
        <f t="shared" si="15"/>
        <v>0.22222222222222221</v>
      </c>
      <c r="H37" s="24"/>
      <c r="I37" s="23"/>
      <c r="J37" s="15">
        <v>180</v>
      </c>
      <c r="K37" s="15">
        <v>40</v>
      </c>
      <c r="L37" s="36">
        <f t="shared" si="16"/>
        <v>0.22222222222222221</v>
      </c>
      <c r="N37" s="23"/>
      <c r="O37" s="15">
        <v>180</v>
      </c>
      <c r="P37" s="15">
        <v>40</v>
      </c>
      <c r="Q37" s="36">
        <f t="shared" si="17"/>
        <v>0.22222222222222221</v>
      </c>
      <c r="S37" s="13">
        <f t="shared" si="13"/>
        <v>0</v>
      </c>
      <c r="T37" s="14">
        <f>SUMIFS([1]SRGM!AN:AN,[1]SRGM!B:B,$B37)</f>
        <v>0</v>
      </c>
      <c r="V37" s="5"/>
    </row>
    <row r="38" spans="1:22">
      <c r="A38" s="51"/>
      <c r="B38" s="15" t="s">
        <v>77</v>
      </c>
      <c r="C38" s="23" t="s">
        <v>78</v>
      </c>
      <c r="D38" s="23" t="s">
        <v>61</v>
      </c>
      <c r="E38" s="15">
        <v>180</v>
      </c>
      <c r="F38" s="15">
        <v>40</v>
      </c>
      <c r="G38" s="36">
        <f t="shared" si="15"/>
        <v>0.22222222222222221</v>
      </c>
      <c r="H38" s="24"/>
      <c r="I38" s="23"/>
      <c r="J38" s="15">
        <v>180</v>
      </c>
      <c r="K38" s="15">
        <v>40</v>
      </c>
      <c r="L38" s="36">
        <f t="shared" si="16"/>
        <v>0.22222222222222221</v>
      </c>
      <c r="N38" s="23"/>
      <c r="O38" s="15">
        <v>180</v>
      </c>
      <c r="P38" s="15">
        <v>40</v>
      </c>
      <c r="Q38" s="36">
        <f t="shared" si="17"/>
        <v>0.22222222222222221</v>
      </c>
      <c r="S38" s="13">
        <f t="shared" si="13"/>
        <v>0</v>
      </c>
      <c r="T38" s="14">
        <f>SUMIFS([1]SRGM!AN:AN,[1]SRGM!B:B,$B38)</f>
        <v>0</v>
      </c>
      <c r="V38" s="5"/>
    </row>
    <row r="39" spans="1:22">
      <c r="A39" s="21"/>
      <c r="B39" s="21"/>
      <c r="C39" s="21"/>
      <c r="D39" s="21"/>
      <c r="G39" s="21"/>
      <c r="H39" s="22"/>
      <c r="I39" s="10"/>
      <c r="T39"/>
    </row>
    <row r="40" spans="1:22">
      <c r="A40" s="21"/>
      <c r="B40" s="21"/>
      <c r="C40" s="21"/>
      <c r="D40" s="21"/>
      <c r="G40" s="21"/>
      <c r="H40" s="22"/>
      <c r="I40" s="10"/>
      <c r="T40"/>
    </row>
    <row r="41" spans="1:22">
      <c r="A41" s="51" t="s">
        <v>79</v>
      </c>
      <c r="B41" s="15" t="s">
        <v>80</v>
      </c>
      <c r="C41" s="23" t="s">
        <v>81</v>
      </c>
      <c r="D41" s="23" t="s">
        <v>61</v>
      </c>
      <c r="E41" s="15">
        <v>1000</v>
      </c>
      <c r="F41" s="15">
        <v>155</v>
      </c>
      <c r="G41" s="36">
        <f t="shared" ref="G41:G48" si="18">F41/E41</f>
        <v>0.155</v>
      </c>
      <c r="H41" s="24"/>
      <c r="I41" s="26"/>
      <c r="J41" s="10">
        <f>E41</f>
        <v>1000</v>
      </c>
      <c r="K41" s="10">
        <f>F41</f>
        <v>155</v>
      </c>
      <c r="L41" s="36">
        <f t="shared" ref="L41:L47" si="19">K41/J41</f>
        <v>0.155</v>
      </c>
      <c r="N41" s="26" t="s">
        <v>82</v>
      </c>
      <c r="O41" s="37">
        <v>1000</v>
      </c>
      <c r="P41" s="37">
        <v>160</v>
      </c>
      <c r="Q41" s="36">
        <f t="shared" ref="Q41:Q47" si="20">P41/O41</f>
        <v>0.16</v>
      </c>
      <c r="S41" s="38">
        <f t="shared" ref="S41:S47" si="21">Q41/L41-1</f>
        <v>3.2258064516129004E-2</v>
      </c>
      <c r="T41" s="14">
        <f>SUMIFS([1]SRGM!AN:AN,[1]SRGM!B:B,$B41)</f>
        <v>0</v>
      </c>
      <c r="V41" s="5"/>
    </row>
    <row r="42" spans="1:22">
      <c r="A42" s="51"/>
      <c r="B42" s="15" t="s">
        <v>83</v>
      </c>
      <c r="C42" s="23" t="s">
        <v>84</v>
      </c>
      <c r="D42" s="23" t="s">
        <v>61</v>
      </c>
      <c r="E42" s="15">
        <v>180</v>
      </c>
      <c r="F42" s="15">
        <v>35</v>
      </c>
      <c r="G42" s="36">
        <f t="shared" si="18"/>
        <v>0.19444444444444445</v>
      </c>
      <c r="H42" s="24"/>
      <c r="I42" s="26" t="s">
        <v>62</v>
      </c>
      <c r="J42" s="10">
        <v>180</v>
      </c>
      <c r="K42" s="10">
        <v>40</v>
      </c>
      <c r="L42" s="36">
        <f t="shared" si="19"/>
        <v>0.22222222222222221</v>
      </c>
      <c r="N42" s="26"/>
      <c r="O42" s="15">
        <v>180</v>
      </c>
      <c r="P42" s="15">
        <v>40</v>
      </c>
      <c r="Q42" s="36">
        <f t="shared" si="20"/>
        <v>0.22222222222222221</v>
      </c>
      <c r="S42" s="38">
        <f t="shared" si="21"/>
        <v>0</v>
      </c>
      <c r="T42" s="14">
        <f>SUMIFS([1]SRGM!AN:AN,[1]SRGM!B:B,$B42)</f>
        <v>0</v>
      </c>
      <c r="V42" s="5"/>
    </row>
    <row r="43" spans="1:22">
      <c r="A43" s="51"/>
      <c r="B43" s="15" t="s">
        <v>85</v>
      </c>
      <c r="C43" s="23" t="s">
        <v>86</v>
      </c>
      <c r="D43" s="23" t="s">
        <v>61</v>
      </c>
      <c r="E43" s="15">
        <v>1000</v>
      </c>
      <c r="F43" s="15">
        <v>155</v>
      </c>
      <c r="G43" s="36">
        <f t="shared" si="18"/>
        <v>0.155</v>
      </c>
      <c r="H43" s="24"/>
      <c r="I43" s="26"/>
      <c r="J43" s="10">
        <f>E43</f>
        <v>1000</v>
      </c>
      <c r="K43" s="10">
        <f>F43</f>
        <v>155</v>
      </c>
      <c r="L43" s="36">
        <f t="shared" si="19"/>
        <v>0.155</v>
      </c>
      <c r="N43" s="26" t="s">
        <v>82</v>
      </c>
      <c r="O43" s="37">
        <v>1000</v>
      </c>
      <c r="P43" s="37">
        <v>160</v>
      </c>
      <c r="Q43" s="36">
        <f t="shared" si="20"/>
        <v>0.16</v>
      </c>
      <c r="S43" s="38">
        <f t="shared" si="21"/>
        <v>3.2258064516129004E-2</v>
      </c>
      <c r="T43" s="14">
        <f>SUMIFS([1]SRGM!AN:AN,[1]SRGM!B:B,$B43)</f>
        <v>0</v>
      </c>
      <c r="V43" s="5"/>
    </row>
    <row r="44" spans="1:22">
      <c r="A44" s="51"/>
      <c r="B44" s="15" t="s">
        <v>87</v>
      </c>
      <c r="C44" s="23" t="s">
        <v>88</v>
      </c>
      <c r="D44" s="23" t="s">
        <v>61</v>
      </c>
      <c r="E44" s="15">
        <v>180</v>
      </c>
      <c r="F44" s="15">
        <v>35</v>
      </c>
      <c r="G44" s="36">
        <f t="shared" si="18"/>
        <v>0.19444444444444445</v>
      </c>
      <c r="H44" s="24"/>
      <c r="I44" s="26" t="s">
        <v>62</v>
      </c>
      <c r="J44" s="10">
        <v>180</v>
      </c>
      <c r="K44" s="10">
        <v>40</v>
      </c>
      <c r="L44" s="36">
        <f t="shared" si="19"/>
        <v>0.22222222222222221</v>
      </c>
      <c r="O44" s="15">
        <v>180</v>
      </c>
      <c r="P44" s="15">
        <v>40</v>
      </c>
      <c r="Q44" s="36">
        <f t="shared" si="20"/>
        <v>0.22222222222222221</v>
      </c>
      <c r="S44" s="38">
        <f t="shared" si="21"/>
        <v>0</v>
      </c>
      <c r="T44" s="14">
        <f>SUMIFS([1]SRGM!AN:AN,[1]SRGM!B:B,$B44)</f>
        <v>0</v>
      </c>
      <c r="V44" s="5"/>
    </row>
    <row r="45" spans="1:22">
      <c r="A45" s="51"/>
      <c r="B45" s="15" t="s">
        <v>89</v>
      </c>
      <c r="C45" s="23" t="s">
        <v>90</v>
      </c>
      <c r="D45" s="23" t="s">
        <v>61</v>
      </c>
      <c r="E45" s="15">
        <v>1000</v>
      </c>
      <c r="F45" s="15">
        <v>155</v>
      </c>
      <c r="G45" s="36">
        <f t="shared" si="18"/>
        <v>0.155</v>
      </c>
      <c r="H45" s="24"/>
      <c r="I45" s="26"/>
      <c r="J45" s="10">
        <f>E45</f>
        <v>1000</v>
      </c>
      <c r="K45" s="10">
        <f>F45</f>
        <v>155</v>
      </c>
      <c r="L45" s="36">
        <f t="shared" si="19"/>
        <v>0.155</v>
      </c>
      <c r="N45" s="26" t="s">
        <v>82</v>
      </c>
      <c r="O45" s="37">
        <v>1000</v>
      </c>
      <c r="P45" s="37">
        <v>160</v>
      </c>
      <c r="Q45" s="36">
        <f t="shared" si="20"/>
        <v>0.16</v>
      </c>
      <c r="S45" s="38">
        <f t="shared" si="21"/>
        <v>3.2258064516129004E-2</v>
      </c>
      <c r="T45" s="14">
        <f>SUMIFS([1]SRGM!AN:AN,[1]SRGM!B:B,$B45)</f>
        <v>0</v>
      </c>
      <c r="V45" s="5"/>
    </row>
    <row r="46" spans="1:22">
      <c r="A46" s="51"/>
      <c r="B46" s="15" t="s">
        <v>91</v>
      </c>
      <c r="C46" s="23" t="s">
        <v>92</v>
      </c>
      <c r="D46" s="23" t="s">
        <v>61</v>
      </c>
      <c r="E46" s="15">
        <v>180</v>
      </c>
      <c r="F46" s="15">
        <v>35</v>
      </c>
      <c r="G46" s="36">
        <f t="shared" si="18"/>
        <v>0.19444444444444445</v>
      </c>
      <c r="H46" s="24"/>
      <c r="I46" s="26" t="s">
        <v>62</v>
      </c>
      <c r="J46" s="10">
        <v>180</v>
      </c>
      <c r="K46" s="10">
        <v>40</v>
      </c>
      <c r="L46" s="36">
        <f t="shared" si="19"/>
        <v>0.22222222222222221</v>
      </c>
      <c r="O46" s="15">
        <v>180</v>
      </c>
      <c r="P46" s="15">
        <v>40</v>
      </c>
      <c r="Q46" s="36">
        <f t="shared" si="20"/>
        <v>0.22222222222222221</v>
      </c>
      <c r="S46" s="38">
        <f t="shared" si="21"/>
        <v>0</v>
      </c>
      <c r="T46" s="14">
        <f>SUMIFS([1]SRGM!AN:AN,[1]SRGM!B:B,$B46)</f>
        <v>0</v>
      </c>
      <c r="V46" s="5"/>
    </row>
    <row r="47" spans="1:22">
      <c r="A47" s="51"/>
      <c r="B47" s="15" t="s">
        <v>93</v>
      </c>
      <c r="C47" s="23" t="s">
        <v>94</v>
      </c>
      <c r="D47" s="23" t="s">
        <v>61</v>
      </c>
      <c r="E47" s="15">
        <v>1000</v>
      </c>
      <c r="F47" s="15">
        <v>155</v>
      </c>
      <c r="G47" s="36">
        <f t="shared" si="18"/>
        <v>0.155</v>
      </c>
      <c r="H47" s="24"/>
      <c r="I47" s="26"/>
      <c r="J47" s="10">
        <f>E47</f>
        <v>1000</v>
      </c>
      <c r="K47" s="10">
        <f>F47</f>
        <v>155</v>
      </c>
      <c r="L47" s="36">
        <f t="shared" si="19"/>
        <v>0.155</v>
      </c>
      <c r="N47" s="26" t="s">
        <v>82</v>
      </c>
      <c r="O47" s="37">
        <v>1000</v>
      </c>
      <c r="P47" s="37">
        <v>160</v>
      </c>
      <c r="Q47" s="36">
        <f t="shared" si="20"/>
        <v>0.16</v>
      </c>
      <c r="S47" s="38">
        <f t="shared" si="21"/>
        <v>3.2258064516129004E-2</v>
      </c>
      <c r="T47" s="14">
        <f>SUMIFS([1]SRGM!AN:AN,[1]SRGM!B:B,$B47)</f>
        <v>0</v>
      </c>
      <c r="V47" s="5"/>
    </row>
    <row r="48" spans="1:22">
      <c r="A48" s="51"/>
      <c r="B48" s="15" t="s">
        <v>95</v>
      </c>
      <c r="C48" s="23" t="s">
        <v>96</v>
      </c>
      <c r="D48" s="23" t="s">
        <v>61</v>
      </c>
      <c r="E48" s="15">
        <v>180</v>
      </c>
      <c r="F48" s="15">
        <v>35</v>
      </c>
      <c r="G48" s="36">
        <f t="shared" si="18"/>
        <v>0.19444444444444445</v>
      </c>
      <c r="H48" s="24"/>
      <c r="I48" s="52" t="s">
        <v>35</v>
      </c>
      <c r="J48" s="52"/>
      <c r="K48" s="52"/>
      <c r="L48" s="52"/>
      <c r="N48" s="52" t="s">
        <v>97</v>
      </c>
      <c r="O48" s="52"/>
      <c r="P48" s="52"/>
      <c r="Q48" s="52"/>
      <c r="R48" s="52"/>
      <c r="S48" s="52"/>
      <c r="T48" s="14">
        <f>SUMIFS([1]SRGM!AN:AN,[1]SRGM!B:B,$B48)</f>
        <v>0</v>
      </c>
      <c r="V48" s="5"/>
    </row>
    <row r="49" spans="1:22">
      <c r="A49" s="27"/>
      <c r="B49" s="27"/>
      <c r="C49" s="32" t="s">
        <v>98</v>
      </c>
      <c r="D49" s="32"/>
      <c r="G49" s="32"/>
      <c r="H49" s="33"/>
      <c r="I49" s="34"/>
      <c r="T49"/>
    </row>
    <row r="50" spans="1:22">
      <c r="A50" s="15"/>
      <c r="B50" s="15"/>
      <c r="C50" s="15"/>
      <c r="D50" s="15"/>
      <c r="G50" s="15"/>
      <c r="H50" s="16"/>
      <c r="I50" s="10"/>
      <c r="T50"/>
    </row>
    <row r="51" spans="1:22">
      <c r="A51" s="51" t="s">
        <v>99</v>
      </c>
      <c r="B51" s="15" t="s">
        <v>100</v>
      </c>
      <c r="C51" s="23" t="s">
        <v>101</v>
      </c>
      <c r="D51" s="23" t="s">
        <v>61</v>
      </c>
      <c r="E51" s="15">
        <v>180</v>
      </c>
      <c r="F51" s="15">
        <v>90</v>
      </c>
      <c r="G51" s="36">
        <f t="shared" ref="G51:G53" si="22">F51/E51</f>
        <v>0.5</v>
      </c>
      <c r="H51" s="24"/>
      <c r="I51" s="26"/>
      <c r="J51" s="10">
        <f>E51</f>
        <v>180</v>
      </c>
      <c r="K51" s="10">
        <f>F51</f>
        <v>90</v>
      </c>
      <c r="L51" s="36">
        <f t="shared" ref="L51:L53" si="23">K51/J51</f>
        <v>0.5</v>
      </c>
      <c r="O51" s="15">
        <v>180</v>
      </c>
      <c r="P51">
        <v>90</v>
      </c>
      <c r="Q51" s="36">
        <f t="shared" ref="Q51:Q53" si="24">P51/O51</f>
        <v>0.5</v>
      </c>
      <c r="S51" s="13">
        <f t="shared" ref="S51:S53" si="25">Q51/L51-1</f>
        <v>0</v>
      </c>
      <c r="T51" s="14">
        <f>SUMIFS([1]SRGM!AN:AN,[1]SRGM!B:B,$B51)</f>
        <v>0</v>
      </c>
      <c r="V51" s="5"/>
    </row>
    <row r="52" spans="1:22">
      <c r="A52" s="51"/>
      <c r="B52" s="15" t="s">
        <v>102</v>
      </c>
      <c r="C52" s="23" t="s">
        <v>103</v>
      </c>
      <c r="D52" s="23" t="s">
        <v>58</v>
      </c>
      <c r="E52" s="15">
        <v>1000</v>
      </c>
      <c r="F52" s="15">
        <v>330</v>
      </c>
      <c r="G52" s="36">
        <f t="shared" si="22"/>
        <v>0.33</v>
      </c>
      <c r="H52" s="24"/>
      <c r="I52" s="26"/>
      <c r="J52" s="10">
        <f t="shared" ref="J52:K53" si="26">E52</f>
        <v>1000</v>
      </c>
      <c r="K52" s="10">
        <f t="shared" si="26"/>
        <v>330</v>
      </c>
      <c r="L52" s="36">
        <f t="shared" si="23"/>
        <v>0.33</v>
      </c>
      <c r="O52" s="15">
        <v>1000</v>
      </c>
      <c r="P52">
        <v>330</v>
      </c>
      <c r="Q52" s="36">
        <f t="shared" si="24"/>
        <v>0.33</v>
      </c>
      <c r="S52" s="13">
        <f t="shared" si="25"/>
        <v>0</v>
      </c>
      <c r="T52" s="14">
        <f>SUMIFS([1]SRGM!AN:AN,[1]SRGM!B:B,$B52)</f>
        <v>0</v>
      </c>
      <c r="V52" s="5"/>
    </row>
    <row r="53" spans="1:22">
      <c r="A53" s="51"/>
      <c r="B53" s="15" t="s">
        <v>104</v>
      </c>
      <c r="C53" s="23" t="s">
        <v>105</v>
      </c>
      <c r="D53" s="23" t="s">
        <v>61</v>
      </c>
      <c r="E53" s="15">
        <v>1000</v>
      </c>
      <c r="F53" s="15">
        <v>330</v>
      </c>
      <c r="G53" s="36">
        <f t="shared" si="22"/>
        <v>0.33</v>
      </c>
      <c r="H53" s="24"/>
      <c r="I53" s="26"/>
      <c r="J53" s="10">
        <f t="shared" si="26"/>
        <v>1000</v>
      </c>
      <c r="K53" s="10">
        <f t="shared" si="26"/>
        <v>330</v>
      </c>
      <c r="L53" s="36">
        <f t="shared" si="23"/>
        <v>0.33</v>
      </c>
      <c r="O53" s="15">
        <v>1000</v>
      </c>
      <c r="P53">
        <v>330</v>
      </c>
      <c r="Q53" s="36">
        <f t="shared" si="24"/>
        <v>0.33</v>
      </c>
      <c r="S53" s="13">
        <f t="shared" si="25"/>
        <v>0</v>
      </c>
      <c r="T53" s="14">
        <f>SUMIFS([1]SRGM!AN:AN,[1]SRGM!B:B,$B53)</f>
        <v>0</v>
      </c>
      <c r="V53" s="5"/>
    </row>
    <row r="54" spans="1:22">
      <c r="A54" s="15"/>
      <c r="B54" s="15"/>
      <c r="C54" s="39" t="s">
        <v>99</v>
      </c>
      <c r="D54" s="23"/>
      <c r="G54" s="23"/>
      <c r="H54" s="24"/>
      <c r="I54" s="26"/>
      <c r="T54"/>
    </row>
    <row r="55" spans="1:22">
      <c r="A55" s="21"/>
      <c r="B55" s="21"/>
      <c r="C55" s="21"/>
      <c r="D55" s="21"/>
      <c r="G55" s="21"/>
      <c r="H55" s="22"/>
      <c r="I55" s="10"/>
      <c r="T55"/>
    </row>
    <row r="56" spans="1:22">
      <c r="A56" s="51" t="s">
        <v>106</v>
      </c>
      <c r="B56" s="15" t="s">
        <v>107</v>
      </c>
      <c r="C56" s="23" t="s">
        <v>108</v>
      </c>
      <c r="D56" s="23" t="s">
        <v>109</v>
      </c>
      <c r="E56" s="15">
        <v>36</v>
      </c>
      <c r="F56" s="15">
        <v>60</v>
      </c>
      <c r="G56" s="36">
        <f t="shared" ref="G56:G67" si="27">F56/E56</f>
        <v>1.6666666666666667</v>
      </c>
      <c r="H56" s="24"/>
      <c r="I56" s="26"/>
      <c r="J56" s="10">
        <f>E56</f>
        <v>36</v>
      </c>
      <c r="K56" s="10">
        <f>F56</f>
        <v>60</v>
      </c>
      <c r="L56" s="36">
        <f t="shared" ref="L56:L68" si="28">K56/J56</f>
        <v>1.6666666666666667</v>
      </c>
      <c r="N56" s="26"/>
      <c r="O56" s="15">
        <v>36</v>
      </c>
      <c r="P56" s="15">
        <v>60</v>
      </c>
      <c r="Q56" s="36">
        <f t="shared" ref="Q56:Q81" si="29">P56/O56</f>
        <v>1.6666666666666667</v>
      </c>
      <c r="S56" s="13">
        <f t="shared" ref="S56:S81" si="30">Q56/L56-1</f>
        <v>0</v>
      </c>
      <c r="T56" s="14">
        <f>SUMIFS([1]SRGM!AN:AN,[1]SRGM!B:B,$B56)</f>
        <v>0</v>
      </c>
      <c r="V56" s="5"/>
    </row>
    <row r="57" spans="1:22">
      <c r="A57" s="51"/>
      <c r="B57" s="15" t="s">
        <v>110</v>
      </c>
      <c r="C57" s="23" t="s">
        <v>111</v>
      </c>
      <c r="D57" s="23" t="s">
        <v>109</v>
      </c>
      <c r="E57" s="15">
        <v>108</v>
      </c>
      <c r="F57" s="15">
        <v>170</v>
      </c>
      <c r="G57" s="36">
        <f t="shared" si="27"/>
        <v>1.5740740740740742</v>
      </c>
      <c r="H57" s="24"/>
      <c r="I57" s="26" t="s">
        <v>112</v>
      </c>
      <c r="J57" s="10">
        <v>103.5</v>
      </c>
      <c r="K57" s="10">
        <v>170</v>
      </c>
      <c r="L57" s="36">
        <f t="shared" si="28"/>
        <v>1.642512077294686</v>
      </c>
      <c r="N57" s="26"/>
      <c r="O57" s="15">
        <v>103.5</v>
      </c>
      <c r="P57" s="15">
        <v>170</v>
      </c>
      <c r="Q57" s="36">
        <f t="shared" si="29"/>
        <v>1.642512077294686</v>
      </c>
      <c r="S57" s="13">
        <f t="shared" si="30"/>
        <v>0</v>
      </c>
      <c r="T57" s="14">
        <f>SUMIFS([1]SRGM!AN:AN,[1]SRGM!B:B,$B57)</f>
        <v>0</v>
      </c>
      <c r="V57" s="5"/>
    </row>
    <row r="58" spans="1:22">
      <c r="A58" s="51"/>
      <c r="B58" s="15" t="s">
        <v>113</v>
      </c>
      <c r="C58" s="23" t="s">
        <v>114</v>
      </c>
      <c r="D58" s="23" t="s">
        <v>109</v>
      </c>
      <c r="E58" s="15">
        <v>33.6</v>
      </c>
      <c r="F58" s="15">
        <v>65</v>
      </c>
      <c r="G58" s="36">
        <f t="shared" si="27"/>
        <v>1.9345238095238095</v>
      </c>
      <c r="H58" s="24"/>
      <c r="I58" s="26"/>
      <c r="J58" s="10">
        <f>E58</f>
        <v>33.6</v>
      </c>
      <c r="K58" s="10">
        <v>65</v>
      </c>
      <c r="L58" s="36">
        <f t="shared" si="28"/>
        <v>1.9345238095238095</v>
      </c>
      <c r="N58" s="26"/>
      <c r="O58" s="15">
        <v>33.6</v>
      </c>
      <c r="P58" s="15">
        <v>65</v>
      </c>
      <c r="Q58" s="36">
        <f t="shared" si="29"/>
        <v>1.9345238095238095</v>
      </c>
      <c r="S58" s="13">
        <f t="shared" si="30"/>
        <v>0</v>
      </c>
      <c r="T58" s="14">
        <f>SUMIFS([1]SRGM!AN:AN,[1]SRGM!B:B,$B58)</f>
        <v>0</v>
      </c>
      <c r="V58" s="5"/>
    </row>
    <row r="59" spans="1:22">
      <c r="A59" s="51"/>
      <c r="B59" s="15" t="s">
        <v>115</v>
      </c>
      <c r="C59" s="23" t="s">
        <v>116</v>
      </c>
      <c r="D59" s="23" t="s">
        <v>109</v>
      </c>
      <c r="E59" s="15">
        <v>100.8</v>
      </c>
      <c r="F59" s="15">
        <v>170</v>
      </c>
      <c r="G59" s="36">
        <f t="shared" si="27"/>
        <v>1.6865079365079365</v>
      </c>
      <c r="H59" s="24"/>
      <c r="I59" s="26" t="s">
        <v>112</v>
      </c>
      <c r="J59" s="10">
        <v>92.4</v>
      </c>
      <c r="K59" s="10">
        <v>170</v>
      </c>
      <c r="L59" s="36">
        <f t="shared" si="28"/>
        <v>1.8398268398268398</v>
      </c>
      <c r="N59" s="26"/>
      <c r="O59" s="15">
        <v>92.4</v>
      </c>
      <c r="P59" s="15">
        <v>170</v>
      </c>
      <c r="Q59" s="36">
        <f t="shared" si="29"/>
        <v>1.8398268398268398</v>
      </c>
      <c r="S59" s="13">
        <f t="shared" si="30"/>
        <v>0</v>
      </c>
      <c r="T59" s="14">
        <f>SUMIFS([1]SRGM!AN:AN,[1]SRGM!B:B,$B59)</f>
        <v>0</v>
      </c>
      <c r="V59" s="5"/>
    </row>
    <row r="60" spans="1:22">
      <c r="A60" s="51"/>
      <c r="B60" s="15" t="s">
        <v>117</v>
      </c>
      <c r="C60" s="23" t="s">
        <v>118</v>
      </c>
      <c r="D60" s="23" t="s">
        <v>109</v>
      </c>
      <c r="E60" s="15">
        <v>33.6</v>
      </c>
      <c r="F60" s="15">
        <v>65</v>
      </c>
      <c r="G60" s="36">
        <f t="shared" si="27"/>
        <v>1.9345238095238095</v>
      </c>
      <c r="H60" s="24"/>
      <c r="I60" s="26"/>
      <c r="J60" s="10">
        <f>E60</f>
        <v>33.6</v>
      </c>
      <c r="K60" s="10">
        <v>65</v>
      </c>
      <c r="L60" s="36">
        <f t="shared" si="28"/>
        <v>1.9345238095238095</v>
      </c>
      <c r="N60" s="26"/>
      <c r="O60" s="15">
        <v>33.6</v>
      </c>
      <c r="P60" s="15">
        <f>K60</f>
        <v>65</v>
      </c>
      <c r="Q60" s="36">
        <f t="shared" si="29"/>
        <v>1.9345238095238095</v>
      </c>
      <c r="S60" s="13">
        <f t="shared" si="30"/>
        <v>0</v>
      </c>
      <c r="T60" s="14">
        <f>SUMIFS([1]SRGM!AN:AN,[1]SRGM!B:B,$B60)</f>
        <v>0</v>
      </c>
      <c r="V60" s="5"/>
    </row>
    <row r="61" spans="1:22">
      <c r="A61" s="51"/>
      <c r="B61" s="15" t="s">
        <v>119</v>
      </c>
      <c r="C61" s="23" t="s">
        <v>120</v>
      </c>
      <c r="D61" s="23" t="s">
        <v>109</v>
      </c>
      <c r="E61" s="15">
        <v>100.8</v>
      </c>
      <c r="F61" s="15">
        <v>170</v>
      </c>
      <c r="G61" s="36">
        <f t="shared" si="27"/>
        <v>1.6865079365079365</v>
      </c>
      <c r="H61" s="24"/>
      <c r="I61" s="26" t="s">
        <v>112</v>
      </c>
      <c r="J61" s="10">
        <v>92.4</v>
      </c>
      <c r="K61" s="10">
        <v>175</v>
      </c>
      <c r="L61" s="36">
        <f t="shared" si="28"/>
        <v>1.8939393939393938</v>
      </c>
      <c r="N61" s="26"/>
      <c r="O61" s="15">
        <v>92.4</v>
      </c>
      <c r="P61" s="15">
        <f>K61</f>
        <v>175</v>
      </c>
      <c r="Q61" s="36">
        <f t="shared" si="29"/>
        <v>1.8939393939393938</v>
      </c>
      <c r="S61" s="13">
        <f t="shared" si="30"/>
        <v>0</v>
      </c>
      <c r="T61" s="14">
        <f>SUMIFS([1]SRGM!AN:AN,[1]SRGM!B:B,$B61)</f>
        <v>0</v>
      </c>
      <c r="V61" s="5"/>
    </row>
    <row r="62" spans="1:22">
      <c r="A62" s="51"/>
      <c r="B62" s="15" t="s">
        <v>121</v>
      </c>
      <c r="C62" s="23" t="s">
        <v>122</v>
      </c>
      <c r="D62" s="23" t="s">
        <v>109</v>
      </c>
      <c r="E62" s="15">
        <v>33.6</v>
      </c>
      <c r="F62" s="15">
        <v>65</v>
      </c>
      <c r="G62" s="36">
        <f t="shared" si="27"/>
        <v>1.9345238095238095</v>
      </c>
      <c r="H62" s="24"/>
      <c r="I62" s="26" t="s">
        <v>112</v>
      </c>
      <c r="J62" s="10">
        <f>E62</f>
        <v>33.6</v>
      </c>
      <c r="K62" s="10">
        <v>70</v>
      </c>
      <c r="L62" s="36">
        <f t="shared" si="28"/>
        <v>2.083333333333333</v>
      </c>
      <c r="N62" s="26"/>
      <c r="O62" s="15">
        <v>33.6</v>
      </c>
      <c r="P62" s="15">
        <v>70</v>
      </c>
      <c r="Q62" s="36">
        <f t="shared" si="29"/>
        <v>2.083333333333333</v>
      </c>
      <c r="S62" s="13">
        <f t="shared" si="30"/>
        <v>0</v>
      </c>
      <c r="T62" s="14">
        <f>SUMIFS([1]SRGM!AN:AN,[1]SRGM!B:B,$B62)</f>
        <v>0</v>
      </c>
      <c r="V62" s="5"/>
    </row>
    <row r="63" spans="1:22">
      <c r="A63" s="51"/>
      <c r="B63" s="15" t="s">
        <v>123</v>
      </c>
      <c r="C63" s="23" t="s">
        <v>124</v>
      </c>
      <c r="D63" s="23" t="s">
        <v>109</v>
      </c>
      <c r="E63" s="15">
        <v>100.8</v>
      </c>
      <c r="F63" s="15">
        <v>170</v>
      </c>
      <c r="G63" s="36">
        <f t="shared" si="27"/>
        <v>1.6865079365079365</v>
      </c>
      <c r="H63" s="24"/>
      <c r="I63" s="26" t="s">
        <v>112</v>
      </c>
      <c r="J63" s="10">
        <v>92.4</v>
      </c>
      <c r="K63" s="10">
        <v>180</v>
      </c>
      <c r="L63" s="36">
        <f t="shared" si="28"/>
        <v>1.948051948051948</v>
      </c>
      <c r="N63" s="26"/>
      <c r="O63" s="15">
        <v>92.4</v>
      </c>
      <c r="P63" s="15">
        <v>180</v>
      </c>
      <c r="Q63" s="36">
        <f t="shared" si="29"/>
        <v>1.948051948051948</v>
      </c>
      <c r="S63" s="13">
        <f t="shared" si="30"/>
        <v>0</v>
      </c>
      <c r="T63" s="14">
        <f>SUMIFS([1]SRGM!AN:AN,[1]SRGM!B:B,$B63)</f>
        <v>0</v>
      </c>
      <c r="V63" s="5"/>
    </row>
    <row r="64" spans="1:22">
      <c r="A64" s="51"/>
      <c r="B64" s="15" t="s">
        <v>125</v>
      </c>
      <c r="C64" s="23" t="s">
        <v>126</v>
      </c>
      <c r="D64" s="23" t="s">
        <v>109</v>
      </c>
      <c r="E64" s="15">
        <v>33.6</v>
      </c>
      <c r="F64" s="15">
        <v>70</v>
      </c>
      <c r="G64" s="36">
        <f t="shared" si="27"/>
        <v>2.083333333333333</v>
      </c>
      <c r="H64" s="24"/>
      <c r="I64" s="26" t="s">
        <v>112</v>
      </c>
      <c r="J64" s="10">
        <f>E64</f>
        <v>33.6</v>
      </c>
      <c r="K64" s="10">
        <v>80</v>
      </c>
      <c r="L64" s="36">
        <f t="shared" si="28"/>
        <v>2.3809523809523809</v>
      </c>
      <c r="N64" s="26"/>
      <c r="O64" s="15">
        <v>33.6</v>
      </c>
      <c r="P64" s="15">
        <v>80</v>
      </c>
      <c r="Q64" s="36">
        <f t="shared" si="29"/>
        <v>2.3809523809523809</v>
      </c>
      <c r="S64" s="13">
        <f t="shared" si="30"/>
        <v>0</v>
      </c>
      <c r="T64" s="14">
        <f>SUMIFS([1]SRGM!AN:AN,[1]SRGM!B:B,$B64)</f>
        <v>0</v>
      </c>
      <c r="V64" s="5"/>
    </row>
    <row r="65" spans="1:22">
      <c r="A65" s="51"/>
      <c r="B65" s="15" t="s">
        <v>127</v>
      </c>
      <c r="C65" s="23" t="s">
        <v>128</v>
      </c>
      <c r="D65" s="23" t="s">
        <v>109</v>
      </c>
      <c r="E65" s="15">
        <v>100.8</v>
      </c>
      <c r="F65" s="15">
        <v>185</v>
      </c>
      <c r="G65" s="36">
        <f t="shared" si="27"/>
        <v>1.8353174603174605</v>
      </c>
      <c r="H65" s="24"/>
      <c r="I65" s="26" t="s">
        <v>112</v>
      </c>
      <c r="J65" s="10">
        <v>92.4</v>
      </c>
      <c r="K65" s="10">
        <v>190</v>
      </c>
      <c r="L65" s="36">
        <f t="shared" si="28"/>
        <v>2.056277056277056</v>
      </c>
      <c r="N65" s="26"/>
      <c r="O65" s="15">
        <v>92.4</v>
      </c>
      <c r="P65" s="15">
        <v>190</v>
      </c>
      <c r="Q65" s="36">
        <f t="shared" si="29"/>
        <v>2.056277056277056</v>
      </c>
      <c r="S65" s="13">
        <f t="shared" si="30"/>
        <v>0</v>
      </c>
      <c r="T65" s="14">
        <f>SUMIFS([1]SRGM!AN:AN,[1]SRGM!B:B,$B65)</f>
        <v>0</v>
      </c>
      <c r="V65" s="5"/>
    </row>
    <row r="66" spans="1:22">
      <c r="A66" s="51"/>
      <c r="B66" s="15" t="s">
        <v>129</v>
      </c>
      <c r="C66" s="23" t="s">
        <v>130</v>
      </c>
      <c r="D66" s="23" t="s">
        <v>109</v>
      </c>
      <c r="E66" s="15">
        <v>33.6</v>
      </c>
      <c r="F66" s="15">
        <v>65</v>
      </c>
      <c r="G66" s="36">
        <f t="shared" si="27"/>
        <v>1.9345238095238095</v>
      </c>
      <c r="H66" s="24"/>
      <c r="I66" s="26" t="s">
        <v>112</v>
      </c>
      <c r="J66" s="10">
        <f>E66</f>
        <v>33.6</v>
      </c>
      <c r="K66" s="10">
        <v>80</v>
      </c>
      <c r="L66" s="36">
        <f t="shared" si="28"/>
        <v>2.3809523809523809</v>
      </c>
      <c r="N66" s="52" t="s">
        <v>97</v>
      </c>
      <c r="O66" s="52"/>
      <c r="P66" s="52"/>
      <c r="Q66" s="52"/>
      <c r="R66" s="52"/>
      <c r="S66" s="52"/>
      <c r="T66" s="14">
        <f>SUMIFS([1]SRGM!AN:AN,[1]SRGM!B:B,$B66)</f>
        <v>0</v>
      </c>
      <c r="V66" s="5"/>
    </row>
    <row r="67" spans="1:22">
      <c r="A67" s="51"/>
      <c r="B67" s="15" t="s">
        <v>131</v>
      </c>
      <c r="C67" s="23" t="s">
        <v>132</v>
      </c>
      <c r="D67" s="23" t="s">
        <v>109</v>
      </c>
      <c r="E67" s="15">
        <v>100.8</v>
      </c>
      <c r="F67" s="15">
        <v>170</v>
      </c>
      <c r="G67" s="36">
        <f t="shared" si="27"/>
        <v>1.6865079365079365</v>
      </c>
      <c r="H67" s="24"/>
      <c r="I67" s="26" t="s">
        <v>112</v>
      </c>
      <c r="J67" s="10">
        <v>92.4</v>
      </c>
      <c r="K67" s="10">
        <v>190</v>
      </c>
      <c r="L67" s="36">
        <f t="shared" si="28"/>
        <v>2.056277056277056</v>
      </c>
      <c r="N67" s="52" t="s">
        <v>97</v>
      </c>
      <c r="O67" s="52"/>
      <c r="P67" s="52"/>
      <c r="Q67" s="52"/>
      <c r="R67" s="52"/>
      <c r="S67" s="52"/>
      <c r="T67" s="14">
        <f>SUMIFS([1]SRGM!AN:AN,[1]SRGM!B:B,$B67)</f>
        <v>0</v>
      </c>
      <c r="V67" s="5"/>
    </row>
    <row r="68" spans="1:22">
      <c r="A68" s="51"/>
      <c r="B68" s="15" t="s">
        <v>133</v>
      </c>
      <c r="C68" s="23" t="s">
        <v>134</v>
      </c>
      <c r="D68" s="23" t="s">
        <v>61</v>
      </c>
      <c r="E68" s="23" t="s">
        <v>61</v>
      </c>
      <c r="F68" s="23" t="s">
        <v>61</v>
      </c>
      <c r="G68" s="23" t="s">
        <v>61</v>
      </c>
      <c r="H68" s="24"/>
      <c r="I68" s="26" t="s">
        <v>62</v>
      </c>
      <c r="J68" s="10">
        <v>45</v>
      </c>
      <c r="K68" s="10">
        <v>99</v>
      </c>
      <c r="L68" s="36">
        <f t="shared" si="28"/>
        <v>2.2000000000000002</v>
      </c>
      <c r="O68" s="15">
        <v>45</v>
      </c>
      <c r="P68" s="15">
        <v>99</v>
      </c>
      <c r="Q68" s="36">
        <f t="shared" si="29"/>
        <v>2.2000000000000002</v>
      </c>
      <c r="S68" s="13">
        <f t="shared" si="30"/>
        <v>0</v>
      </c>
      <c r="T68" s="14">
        <f>SUMIFS([1]SRGM!AN:AN,[1]SRGM!B:B,$B68)</f>
        <v>0</v>
      </c>
      <c r="V68" s="5"/>
    </row>
    <row r="69" spans="1:22">
      <c r="A69" s="51"/>
      <c r="B69" s="37" t="s">
        <v>135</v>
      </c>
      <c r="C69" s="23" t="s">
        <v>136</v>
      </c>
      <c r="D69" s="23" t="s">
        <v>61</v>
      </c>
      <c r="E69" s="23" t="s">
        <v>61</v>
      </c>
      <c r="F69" s="23" t="s">
        <v>61</v>
      </c>
      <c r="G69" s="23" t="s">
        <v>61</v>
      </c>
      <c r="H69" s="24"/>
      <c r="I69" s="23"/>
      <c r="J69" s="23"/>
      <c r="K69" s="23"/>
      <c r="L69" s="23"/>
      <c r="O69" s="15">
        <v>45</v>
      </c>
      <c r="P69" s="15">
        <f>P68</f>
        <v>99</v>
      </c>
      <c r="Q69" s="36">
        <f t="shared" si="29"/>
        <v>2.2000000000000002</v>
      </c>
      <c r="S69" s="13"/>
      <c r="T69" s="5">
        <f>SUMIFS([1]SRGM!AN:AN,[1]SRGM!B:B,$B69)</f>
        <v>0</v>
      </c>
    </row>
    <row r="70" spans="1:22">
      <c r="A70" s="27"/>
      <c r="B70" s="27"/>
      <c r="C70" s="39" t="s">
        <v>137</v>
      </c>
      <c r="D70" s="39"/>
      <c r="G70" s="39"/>
      <c r="H70" s="40"/>
      <c r="I70" s="30"/>
      <c r="Q70" s="36"/>
      <c r="S70" s="13"/>
      <c r="T70"/>
    </row>
    <row r="71" spans="1:22">
      <c r="A71" s="21"/>
      <c r="B71" s="21"/>
      <c r="C71" s="21"/>
      <c r="D71" s="21"/>
      <c r="G71" s="21"/>
      <c r="H71" s="22"/>
      <c r="I71" s="10"/>
      <c r="T71"/>
    </row>
    <row r="72" spans="1:22">
      <c r="A72" s="51" t="s">
        <v>138</v>
      </c>
      <c r="B72" s="15" t="s">
        <v>139</v>
      </c>
      <c r="C72" s="23" t="s">
        <v>140</v>
      </c>
      <c r="D72" s="23" t="s">
        <v>141</v>
      </c>
      <c r="E72" s="15">
        <v>33</v>
      </c>
      <c r="F72" s="15">
        <v>65</v>
      </c>
      <c r="G72" s="36">
        <f t="shared" ref="G72:G81" si="31">F72/E72</f>
        <v>1.9696969696969697</v>
      </c>
      <c r="H72" s="24"/>
      <c r="I72" s="26" t="s">
        <v>112</v>
      </c>
      <c r="J72" s="10">
        <v>29.7</v>
      </c>
      <c r="K72" s="10">
        <f>F72</f>
        <v>65</v>
      </c>
      <c r="L72" s="36">
        <f t="shared" ref="L72:L81" si="32">K72/J72</f>
        <v>2.1885521885521886</v>
      </c>
      <c r="N72" s="26"/>
      <c r="O72" s="10">
        <v>29.7</v>
      </c>
      <c r="P72" s="10">
        <v>65</v>
      </c>
      <c r="Q72" s="36">
        <f t="shared" si="29"/>
        <v>2.1885521885521886</v>
      </c>
      <c r="S72" s="13">
        <f t="shared" si="30"/>
        <v>0</v>
      </c>
      <c r="T72" s="14">
        <f>SUMIFS([1]SRGM!AN:AN,[1]SRGM!B:B,$B72)</f>
        <v>0</v>
      </c>
      <c r="V72" s="5"/>
    </row>
    <row r="73" spans="1:22">
      <c r="A73" s="51"/>
      <c r="B73" s="15" t="s">
        <v>142</v>
      </c>
      <c r="C73" s="23" t="s">
        <v>143</v>
      </c>
      <c r="D73" s="23" t="s">
        <v>141</v>
      </c>
      <c r="E73" s="15">
        <v>100</v>
      </c>
      <c r="F73" s="15">
        <v>175</v>
      </c>
      <c r="G73" s="36">
        <f t="shared" si="31"/>
        <v>1.75</v>
      </c>
      <c r="H73" s="24"/>
      <c r="I73" s="26" t="s">
        <v>112</v>
      </c>
      <c r="J73" s="10">
        <v>89.1</v>
      </c>
      <c r="K73" s="10">
        <f t="shared" ref="K73:K81" si="33">F73</f>
        <v>175</v>
      </c>
      <c r="L73" s="36">
        <f t="shared" si="32"/>
        <v>1.9640852974186309</v>
      </c>
      <c r="N73" s="26"/>
      <c r="O73" s="10">
        <v>89.1</v>
      </c>
      <c r="P73" s="10">
        <v>175</v>
      </c>
      <c r="Q73" s="36">
        <f t="shared" si="29"/>
        <v>1.9640852974186309</v>
      </c>
      <c r="S73" s="13">
        <f t="shared" si="30"/>
        <v>0</v>
      </c>
      <c r="T73" s="14">
        <f>SUMIFS([1]SRGM!AN:AN,[1]SRGM!B:B,$B73)</f>
        <v>0</v>
      </c>
      <c r="V73" s="5"/>
    </row>
    <row r="74" spans="1:22">
      <c r="A74" s="51"/>
      <c r="B74" s="15" t="s">
        <v>144</v>
      </c>
      <c r="C74" s="23" t="s">
        <v>145</v>
      </c>
      <c r="D74" s="23" t="s">
        <v>141</v>
      </c>
      <c r="E74" s="15">
        <v>33</v>
      </c>
      <c r="F74" s="15">
        <v>65</v>
      </c>
      <c r="G74" s="36">
        <f t="shared" si="31"/>
        <v>1.9696969696969697</v>
      </c>
      <c r="H74" s="24"/>
      <c r="I74" s="26" t="s">
        <v>112</v>
      </c>
      <c r="J74" s="10">
        <v>29.7</v>
      </c>
      <c r="K74" s="10">
        <f t="shared" si="33"/>
        <v>65</v>
      </c>
      <c r="L74" s="36">
        <f t="shared" si="32"/>
        <v>2.1885521885521886</v>
      </c>
      <c r="N74" s="26"/>
      <c r="O74" s="10">
        <v>29.7</v>
      </c>
      <c r="P74" s="10">
        <v>65</v>
      </c>
      <c r="Q74" s="36">
        <f t="shared" si="29"/>
        <v>2.1885521885521886</v>
      </c>
      <c r="S74" s="13">
        <f t="shared" si="30"/>
        <v>0</v>
      </c>
      <c r="T74" s="14">
        <f>SUMIFS([1]SRGM!AN:AN,[1]SRGM!B:B,$B74)</f>
        <v>0</v>
      </c>
      <c r="V74" s="5"/>
    </row>
    <row r="75" spans="1:22">
      <c r="A75" s="51"/>
      <c r="B75" s="15" t="s">
        <v>146</v>
      </c>
      <c r="C75" s="23" t="s">
        <v>147</v>
      </c>
      <c r="D75" s="23" t="s">
        <v>141</v>
      </c>
      <c r="E75" s="15">
        <v>100</v>
      </c>
      <c r="F75" s="15">
        <v>175</v>
      </c>
      <c r="G75" s="36">
        <f t="shared" si="31"/>
        <v>1.75</v>
      </c>
      <c r="H75" s="24"/>
      <c r="I75" s="26" t="s">
        <v>112</v>
      </c>
      <c r="J75" s="10">
        <v>89.1</v>
      </c>
      <c r="K75" s="10">
        <f t="shared" si="33"/>
        <v>175</v>
      </c>
      <c r="L75" s="36">
        <f t="shared" si="32"/>
        <v>1.9640852974186309</v>
      </c>
      <c r="N75" s="26"/>
      <c r="O75" s="10">
        <v>89.1</v>
      </c>
      <c r="P75" s="10">
        <v>175</v>
      </c>
      <c r="Q75" s="36">
        <f t="shared" si="29"/>
        <v>1.9640852974186309</v>
      </c>
      <c r="S75" s="13">
        <f t="shared" si="30"/>
        <v>0</v>
      </c>
      <c r="T75" s="14">
        <f>SUMIFS([1]SRGM!AN:AN,[1]SRGM!B:B,$B75)</f>
        <v>0</v>
      </c>
      <c r="V75" s="5"/>
    </row>
    <row r="76" spans="1:22">
      <c r="A76" s="51"/>
      <c r="B76" s="15" t="s">
        <v>148</v>
      </c>
      <c r="C76" s="23" t="s">
        <v>149</v>
      </c>
      <c r="D76" s="23" t="s">
        <v>141</v>
      </c>
      <c r="E76" s="15">
        <v>33</v>
      </c>
      <c r="F76" s="15">
        <v>65</v>
      </c>
      <c r="G76" s="36">
        <f t="shared" si="31"/>
        <v>1.9696969696969697</v>
      </c>
      <c r="H76" s="24"/>
      <c r="I76" s="26" t="s">
        <v>112</v>
      </c>
      <c r="J76" s="10">
        <v>29.7</v>
      </c>
      <c r="K76" s="10">
        <f t="shared" si="33"/>
        <v>65</v>
      </c>
      <c r="L76" s="36">
        <f t="shared" si="32"/>
        <v>2.1885521885521886</v>
      </c>
      <c r="N76" s="26"/>
      <c r="O76" s="10">
        <v>29.7</v>
      </c>
      <c r="P76" s="10">
        <v>65</v>
      </c>
      <c r="Q76" s="36">
        <f t="shared" si="29"/>
        <v>2.1885521885521886</v>
      </c>
      <c r="S76" s="13">
        <f t="shared" si="30"/>
        <v>0</v>
      </c>
      <c r="T76" s="14">
        <f>SUMIFS([1]SRGM!AN:AN,[1]SRGM!B:B,$B76)</f>
        <v>0</v>
      </c>
      <c r="V76" s="5"/>
    </row>
    <row r="77" spans="1:22">
      <c r="A77" s="51"/>
      <c r="B77" s="15" t="s">
        <v>150</v>
      </c>
      <c r="C77" s="41" t="s">
        <v>151</v>
      </c>
      <c r="D77" s="23" t="s">
        <v>141</v>
      </c>
      <c r="E77" s="15">
        <v>100</v>
      </c>
      <c r="F77" s="15">
        <v>175</v>
      </c>
      <c r="G77" s="36">
        <f t="shared" si="31"/>
        <v>1.75</v>
      </c>
      <c r="H77" s="24"/>
      <c r="I77" s="26" t="s">
        <v>112</v>
      </c>
      <c r="J77" s="10">
        <v>89.1</v>
      </c>
      <c r="K77" s="10">
        <f t="shared" si="33"/>
        <v>175</v>
      </c>
      <c r="L77" s="36">
        <f t="shared" si="32"/>
        <v>1.9640852974186309</v>
      </c>
      <c r="N77" s="26"/>
      <c r="O77" s="10">
        <v>89.1</v>
      </c>
      <c r="P77" s="10">
        <v>175</v>
      </c>
      <c r="Q77" s="36">
        <f t="shared" si="29"/>
        <v>1.9640852974186309</v>
      </c>
      <c r="S77" s="13">
        <f t="shared" si="30"/>
        <v>0</v>
      </c>
      <c r="T77" s="14">
        <f>SUMIFS([1]SRGM!AN:AN,[1]SRGM!B:B,$B77)</f>
        <v>0</v>
      </c>
      <c r="V77" s="5"/>
    </row>
    <row r="78" spans="1:22">
      <c r="A78" s="51"/>
      <c r="B78" s="15" t="s">
        <v>152</v>
      </c>
      <c r="C78" s="23" t="s">
        <v>153</v>
      </c>
      <c r="D78" s="23" t="s">
        <v>141</v>
      </c>
      <c r="E78" s="15">
        <v>30</v>
      </c>
      <c r="F78" s="15">
        <v>70</v>
      </c>
      <c r="G78" s="36">
        <f t="shared" si="31"/>
        <v>2.3333333333333335</v>
      </c>
      <c r="H78" s="24"/>
      <c r="I78" s="26" t="s">
        <v>112</v>
      </c>
      <c r="J78" s="10">
        <v>27.5</v>
      </c>
      <c r="K78" s="10">
        <f t="shared" si="33"/>
        <v>70</v>
      </c>
      <c r="L78" s="36">
        <f t="shared" si="32"/>
        <v>2.5454545454545454</v>
      </c>
      <c r="N78" s="26"/>
      <c r="O78" s="10">
        <v>27.5</v>
      </c>
      <c r="P78" s="10">
        <v>70</v>
      </c>
      <c r="Q78" s="36">
        <f t="shared" si="29"/>
        <v>2.5454545454545454</v>
      </c>
      <c r="S78" s="13">
        <f t="shared" si="30"/>
        <v>0</v>
      </c>
      <c r="T78" s="14">
        <f>SUMIFS([1]SRGM!AN:AN,[1]SRGM!B:B,$B78)</f>
        <v>0</v>
      </c>
      <c r="V78" s="5"/>
    </row>
    <row r="79" spans="1:22">
      <c r="A79" s="51"/>
      <c r="B79" s="15" t="s">
        <v>154</v>
      </c>
      <c r="C79" s="23" t="s">
        <v>155</v>
      </c>
      <c r="D79" s="23" t="s">
        <v>141</v>
      </c>
      <c r="E79" s="15">
        <v>90</v>
      </c>
      <c r="F79" s="15">
        <v>180</v>
      </c>
      <c r="G79" s="36">
        <f t="shared" si="31"/>
        <v>2</v>
      </c>
      <c r="H79" s="24"/>
      <c r="I79" s="26" t="s">
        <v>112</v>
      </c>
      <c r="J79" s="10">
        <v>82.5</v>
      </c>
      <c r="K79" s="10">
        <f t="shared" si="33"/>
        <v>180</v>
      </c>
      <c r="L79" s="36">
        <f t="shared" si="32"/>
        <v>2.1818181818181817</v>
      </c>
      <c r="N79" s="26"/>
      <c r="O79" s="10">
        <v>82.5</v>
      </c>
      <c r="P79" s="10">
        <v>180</v>
      </c>
      <c r="Q79" s="36">
        <f t="shared" si="29"/>
        <v>2.1818181818181817</v>
      </c>
      <c r="S79" s="13">
        <f t="shared" si="30"/>
        <v>0</v>
      </c>
      <c r="T79" s="14">
        <f>SUMIFS([1]SRGM!AN:AN,[1]SRGM!B:B,$B79)</f>
        <v>0</v>
      </c>
      <c r="V79" s="5"/>
    </row>
    <row r="80" spans="1:22">
      <c r="A80" s="51"/>
      <c r="B80" s="15" t="s">
        <v>156</v>
      </c>
      <c r="C80" s="23" t="s">
        <v>157</v>
      </c>
      <c r="D80" s="23" t="s">
        <v>141</v>
      </c>
      <c r="E80" s="15">
        <v>30</v>
      </c>
      <c r="F80" s="15">
        <v>70</v>
      </c>
      <c r="G80" s="36">
        <f t="shared" si="31"/>
        <v>2.3333333333333335</v>
      </c>
      <c r="H80" s="24"/>
      <c r="I80" s="26" t="s">
        <v>112</v>
      </c>
      <c r="J80" s="10">
        <v>27.5</v>
      </c>
      <c r="K80" s="10">
        <f t="shared" si="33"/>
        <v>70</v>
      </c>
      <c r="L80" s="36">
        <f t="shared" si="32"/>
        <v>2.5454545454545454</v>
      </c>
      <c r="N80" s="26"/>
      <c r="O80" s="10">
        <v>27.5</v>
      </c>
      <c r="P80" s="10">
        <v>70</v>
      </c>
      <c r="Q80" s="36">
        <f t="shared" si="29"/>
        <v>2.5454545454545454</v>
      </c>
      <c r="S80" s="13">
        <f t="shared" si="30"/>
        <v>0</v>
      </c>
      <c r="T80" s="14">
        <f>SUMIFS([1]SRGM!AN:AN,[1]SRGM!B:B,$B80)</f>
        <v>0</v>
      </c>
      <c r="V80" s="5"/>
    </row>
    <row r="81" spans="1:22">
      <c r="A81" s="51"/>
      <c r="B81" s="15" t="s">
        <v>158</v>
      </c>
      <c r="C81" s="23" t="s">
        <v>159</v>
      </c>
      <c r="D81" s="23" t="s">
        <v>141</v>
      </c>
      <c r="E81" s="15">
        <v>90</v>
      </c>
      <c r="F81" s="15">
        <v>180</v>
      </c>
      <c r="G81" s="36">
        <f t="shared" si="31"/>
        <v>2</v>
      </c>
      <c r="H81" s="24"/>
      <c r="I81" s="26" t="s">
        <v>112</v>
      </c>
      <c r="J81" s="10">
        <v>82.5</v>
      </c>
      <c r="K81" s="10">
        <f t="shared" si="33"/>
        <v>180</v>
      </c>
      <c r="L81" s="36">
        <f t="shared" si="32"/>
        <v>2.1818181818181817</v>
      </c>
      <c r="N81" s="26"/>
      <c r="O81" s="10">
        <v>82.5</v>
      </c>
      <c r="P81" s="10">
        <v>180</v>
      </c>
      <c r="Q81" s="36">
        <f t="shared" si="29"/>
        <v>2.1818181818181817</v>
      </c>
      <c r="S81" s="13">
        <f t="shared" si="30"/>
        <v>0</v>
      </c>
      <c r="T81" s="14">
        <f>SUMIFS([1]SRGM!AN:AN,[1]SRGM!B:B,$B81)</f>
        <v>0</v>
      </c>
      <c r="V81" s="5"/>
    </row>
    <row r="82" spans="1:22">
      <c r="A82" s="15"/>
      <c r="B82" s="15"/>
      <c r="C82" s="42" t="s">
        <v>138</v>
      </c>
      <c r="D82" s="42"/>
      <c r="G82" s="42"/>
      <c r="H82" s="43"/>
      <c r="I82" s="44"/>
      <c r="T82"/>
    </row>
    <row r="83" spans="1:22">
      <c r="A83" s="21"/>
      <c r="B83" s="21"/>
      <c r="C83" s="21"/>
      <c r="D83" s="21"/>
      <c r="G83" s="21"/>
      <c r="H83" s="22"/>
      <c r="I83" s="10"/>
      <c r="T83"/>
    </row>
    <row r="84" spans="1:22">
      <c r="A84" s="51" t="s">
        <v>160</v>
      </c>
      <c r="B84" s="15" t="s">
        <v>161</v>
      </c>
      <c r="C84" s="23" t="s">
        <v>162</v>
      </c>
      <c r="D84" s="23" t="s">
        <v>61</v>
      </c>
      <c r="E84" s="15">
        <v>40</v>
      </c>
      <c r="F84" s="15">
        <v>60</v>
      </c>
      <c r="G84" s="36">
        <f t="shared" ref="G84:G95" si="34">F84/E84</f>
        <v>1.5</v>
      </c>
      <c r="H84" s="24"/>
      <c r="I84" s="26" t="s">
        <v>63</v>
      </c>
      <c r="J84" s="10">
        <v>38</v>
      </c>
      <c r="K84" s="10">
        <v>60</v>
      </c>
      <c r="L84" s="36">
        <f t="shared" ref="L84:L95" si="35">K84/J84</f>
        <v>1.5789473684210527</v>
      </c>
      <c r="N84" s="26"/>
      <c r="O84">
        <v>38</v>
      </c>
      <c r="P84">
        <v>60</v>
      </c>
      <c r="Q84" s="36">
        <f t="shared" ref="Q84:Q95" si="36">P84/O84</f>
        <v>1.5789473684210527</v>
      </c>
      <c r="S84" s="13">
        <f t="shared" ref="S84:S95" si="37">Q84/L84-1</f>
        <v>0</v>
      </c>
      <c r="T84" s="14">
        <f>SUMIFS([1]SRGM!AN:AN,[1]SRGM!B:B,$B84)</f>
        <v>0</v>
      </c>
      <c r="V84" s="5"/>
    </row>
    <row r="85" spans="1:22">
      <c r="A85" s="51"/>
      <c r="B85" s="15" t="s">
        <v>163</v>
      </c>
      <c r="C85" s="23" t="s">
        <v>164</v>
      </c>
      <c r="D85" s="23" t="s">
        <v>61</v>
      </c>
      <c r="E85" s="15">
        <v>100</v>
      </c>
      <c r="F85" s="15">
        <v>140</v>
      </c>
      <c r="G85" s="36">
        <f t="shared" si="34"/>
        <v>1.4</v>
      </c>
      <c r="H85" s="24"/>
      <c r="I85" s="26" t="s">
        <v>63</v>
      </c>
      <c r="J85" s="10">
        <v>90</v>
      </c>
      <c r="K85" s="10">
        <v>155</v>
      </c>
      <c r="L85" s="36">
        <f t="shared" si="35"/>
        <v>1.7222222222222223</v>
      </c>
      <c r="N85" s="26"/>
      <c r="O85">
        <v>90</v>
      </c>
      <c r="P85">
        <v>155</v>
      </c>
      <c r="Q85" s="36">
        <f t="shared" si="36"/>
        <v>1.7222222222222223</v>
      </c>
      <c r="S85" s="13">
        <f t="shared" si="37"/>
        <v>0</v>
      </c>
      <c r="T85" s="14">
        <f>SUMIFS([1]SRGM!AN:AN,[1]SRGM!B:B,$B85)</f>
        <v>0</v>
      </c>
      <c r="V85" s="5"/>
    </row>
    <row r="86" spans="1:22">
      <c r="A86" s="51"/>
      <c r="B86" s="15" t="s">
        <v>165</v>
      </c>
      <c r="C86" s="23" t="s">
        <v>166</v>
      </c>
      <c r="D86" s="23" t="s">
        <v>61</v>
      </c>
      <c r="E86" s="15">
        <v>40</v>
      </c>
      <c r="F86" s="15">
        <v>65</v>
      </c>
      <c r="G86" s="36">
        <f t="shared" si="34"/>
        <v>1.625</v>
      </c>
      <c r="H86" s="45"/>
      <c r="I86" s="26" t="s">
        <v>63</v>
      </c>
      <c r="J86" s="10">
        <v>40</v>
      </c>
      <c r="K86" s="10">
        <v>70</v>
      </c>
      <c r="L86" s="36">
        <f t="shared" si="35"/>
        <v>1.75</v>
      </c>
      <c r="N86" s="26"/>
      <c r="O86">
        <v>40</v>
      </c>
      <c r="P86">
        <v>70</v>
      </c>
      <c r="Q86" s="36">
        <f t="shared" si="36"/>
        <v>1.75</v>
      </c>
      <c r="S86" s="13">
        <f t="shared" si="37"/>
        <v>0</v>
      </c>
      <c r="T86" s="14">
        <f>SUMIFS([1]SRGM!AN:AN,[1]SRGM!B:B,$B86)</f>
        <v>0</v>
      </c>
      <c r="V86" s="5"/>
    </row>
    <row r="87" spans="1:22">
      <c r="A87" s="51"/>
      <c r="B87" s="15" t="s">
        <v>167</v>
      </c>
      <c r="C87" s="23" t="s">
        <v>168</v>
      </c>
      <c r="D87" s="23" t="s">
        <v>61</v>
      </c>
      <c r="E87" s="15">
        <v>100</v>
      </c>
      <c r="F87" s="15">
        <v>150</v>
      </c>
      <c r="G87" s="36">
        <f t="shared" si="34"/>
        <v>1.5</v>
      </c>
      <c r="H87" s="24"/>
      <c r="I87" s="26" t="s">
        <v>63</v>
      </c>
      <c r="J87" s="10">
        <v>90</v>
      </c>
      <c r="K87" s="10">
        <v>165</v>
      </c>
      <c r="L87" s="36">
        <f t="shared" si="35"/>
        <v>1.8333333333333333</v>
      </c>
      <c r="N87" s="26"/>
      <c r="O87">
        <v>90</v>
      </c>
      <c r="P87">
        <v>165</v>
      </c>
      <c r="Q87" s="36">
        <f t="shared" si="36"/>
        <v>1.8333333333333333</v>
      </c>
      <c r="S87" s="13">
        <f t="shared" si="37"/>
        <v>0</v>
      </c>
      <c r="T87" s="14">
        <f>SUMIFS([1]SRGM!AN:AN,[1]SRGM!B:B,$B87)</f>
        <v>0</v>
      </c>
      <c r="V87" s="5"/>
    </row>
    <row r="88" spans="1:22">
      <c r="A88" s="51"/>
      <c r="B88" s="15" t="s">
        <v>169</v>
      </c>
      <c r="C88" s="23" t="s">
        <v>170</v>
      </c>
      <c r="D88" s="23" t="s">
        <v>61</v>
      </c>
      <c r="E88" s="15">
        <v>40</v>
      </c>
      <c r="F88" s="15">
        <v>65</v>
      </c>
      <c r="G88" s="36">
        <f t="shared" si="34"/>
        <v>1.625</v>
      </c>
      <c r="H88" s="24"/>
      <c r="I88" s="26" t="s">
        <v>63</v>
      </c>
      <c r="J88" s="10">
        <v>38</v>
      </c>
      <c r="K88" s="10">
        <v>70</v>
      </c>
      <c r="L88" s="36">
        <f t="shared" si="35"/>
        <v>1.8421052631578947</v>
      </c>
      <c r="N88" s="26"/>
      <c r="O88">
        <v>38</v>
      </c>
      <c r="P88">
        <v>70</v>
      </c>
      <c r="Q88" s="36">
        <f t="shared" si="36"/>
        <v>1.8421052631578947</v>
      </c>
      <c r="S88" s="13">
        <f t="shared" si="37"/>
        <v>0</v>
      </c>
      <c r="T88" s="14">
        <f>SUMIFS([1]SRGM!AN:AN,[1]SRGM!B:B,$B88)</f>
        <v>0</v>
      </c>
      <c r="V88" s="5"/>
    </row>
    <row r="89" spans="1:22">
      <c r="A89" s="51"/>
      <c r="B89" s="15" t="s">
        <v>171</v>
      </c>
      <c r="C89" s="23" t="s">
        <v>172</v>
      </c>
      <c r="D89" s="23" t="s">
        <v>61</v>
      </c>
      <c r="E89" s="15">
        <v>100</v>
      </c>
      <c r="F89" s="15">
        <v>150</v>
      </c>
      <c r="G89" s="36">
        <f t="shared" si="34"/>
        <v>1.5</v>
      </c>
      <c r="H89" s="24"/>
      <c r="I89" s="26" t="s">
        <v>63</v>
      </c>
      <c r="J89" s="10">
        <v>90</v>
      </c>
      <c r="K89" s="10">
        <v>170</v>
      </c>
      <c r="L89" s="36">
        <f t="shared" si="35"/>
        <v>1.8888888888888888</v>
      </c>
      <c r="N89" s="26"/>
      <c r="O89">
        <v>90</v>
      </c>
      <c r="P89">
        <v>170</v>
      </c>
      <c r="Q89" s="36">
        <f t="shared" si="36"/>
        <v>1.8888888888888888</v>
      </c>
      <c r="S89" s="13">
        <f t="shared" si="37"/>
        <v>0</v>
      </c>
      <c r="T89" s="14">
        <f>SUMIFS([1]SRGM!AN:AN,[1]SRGM!B:B,$B89)</f>
        <v>0</v>
      </c>
      <c r="V89" s="5"/>
    </row>
    <row r="90" spans="1:22">
      <c r="A90" s="51"/>
      <c r="B90" s="15" t="s">
        <v>173</v>
      </c>
      <c r="C90" s="23" t="s">
        <v>174</v>
      </c>
      <c r="D90" s="23" t="s">
        <v>61</v>
      </c>
      <c r="E90" s="15">
        <v>40</v>
      </c>
      <c r="F90" s="15">
        <v>65</v>
      </c>
      <c r="G90" s="36">
        <f t="shared" si="34"/>
        <v>1.625</v>
      </c>
      <c r="H90" s="24"/>
      <c r="I90" s="26" t="s">
        <v>63</v>
      </c>
      <c r="J90" s="10">
        <v>38</v>
      </c>
      <c r="K90" s="10">
        <v>75</v>
      </c>
      <c r="L90" s="36">
        <f t="shared" si="35"/>
        <v>1.9736842105263157</v>
      </c>
      <c r="N90" s="26"/>
      <c r="O90">
        <v>38</v>
      </c>
      <c r="P90">
        <v>75</v>
      </c>
      <c r="Q90" s="36">
        <f t="shared" si="36"/>
        <v>1.9736842105263157</v>
      </c>
      <c r="S90" s="13">
        <f t="shared" si="37"/>
        <v>0</v>
      </c>
      <c r="T90" s="14">
        <f>SUMIFS([1]SRGM!AN:AN,[1]SRGM!B:B,$B90)</f>
        <v>0</v>
      </c>
      <c r="V90" s="5"/>
    </row>
    <row r="91" spans="1:22">
      <c r="A91" s="51"/>
      <c r="B91" s="15" t="s">
        <v>175</v>
      </c>
      <c r="C91" s="23" t="s">
        <v>176</v>
      </c>
      <c r="D91" s="23" t="s">
        <v>61</v>
      </c>
      <c r="E91" s="15">
        <v>100</v>
      </c>
      <c r="F91" s="15">
        <v>155</v>
      </c>
      <c r="G91" s="36">
        <f t="shared" si="34"/>
        <v>1.55</v>
      </c>
      <c r="H91" s="24"/>
      <c r="I91" s="26" t="s">
        <v>63</v>
      </c>
      <c r="J91" s="10">
        <v>90</v>
      </c>
      <c r="K91" s="10">
        <v>170</v>
      </c>
      <c r="L91" s="36">
        <f t="shared" si="35"/>
        <v>1.8888888888888888</v>
      </c>
      <c r="N91" s="26"/>
      <c r="O91">
        <v>90</v>
      </c>
      <c r="P91">
        <v>170</v>
      </c>
      <c r="Q91" s="36">
        <f t="shared" si="36"/>
        <v>1.8888888888888888</v>
      </c>
      <c r="S91" s="13">
        <f t="shared" si="37"/>
        <v>0</v>
      </c>
      <c r="T91" s="14">
        <f>SUMIFS([1]SRGM!AN:AN,[1]SRGM!B:B,$B91)</f>
        <v>0</v>
      </c>
      <c r="V91" s="5"/>
    </row>
    <row r="92" spans="1:22">
      <c r="A92" s="51"/>
      <c r="B92" s="15" t="s">
        <v>177</v>
      </c>
      <c r="C92" s="23" t="s">
        <v>178</v>
      </c>
      <c r="D92" s="23" t="s">
        <v>61</v>
      </c>
      <c r="E92" s="15">
        <v>40</v>
      </c>
      <c r="F92" s="15">
        <v>65</v>
      </c>
      <c r="G92" s="36">
        <f t="shared" si="34"/>
        <v>1.625</v>
      </c>
      <c r="H92" s="24"/>
      <c r="I92" s="26" t="s">
        <v>63</v>
      </c>
      <c r="J92" s="10">
        <v>38</v>
      </c>
      <c r="K92" s="10">
        <v>75</v>
      </c>
      <c r="L92" s="36">
        <f t="shared" si="35"/>
        <v>1.9736842105263157</v>
      </c>
      <c r="N92" s="26"/>
      <c r="O92">
        <v>38</v>
      </c>
      <c r="P92">
        <v>75</v>
      </c>
      <c r="Q92" s="36">
        <f t="shared" si="36"/>
        <v>1.9736842105263157</v>
      </c>
      <c r="S92" s="13">
        <f t="shared" si="37"/>
        <v>0</v>
      </c>
      <c r="T92" s="14">
        <f>SUMIFS([1]SRGM!AN:AN,[1]SRGM!B:B,$B92)</f>
        <v>0</v>
      </c>
      <c r="V92" s="5"/>
    </row>
    <row r="93" spans="1:22">
      <c r="A93" s="51"/>
      <c r="B93" s="15" t="s">
        <v>179</v>
      </c>
      <c r="C93" s="23" t="s">
        <v>180</v>
      </c>
      <c r="D93" s="23" t="s">
        <v>61</v>
      </c>
      <c r="E93" s="15">
        <v>100</v>
      </c>
      <c r="F93" s="15">
        <v>155</v>
      </c>
      <c r="G93" s="36">
        <f t="shared" si="34"/>
        <v>1.55</v>
      </c>
      <c r="H93" s="24"/>
      <c r="I93" s="26" t="s">
        <v>63</v>
      </c>
      <c r="J93" s="10">
        <v>90</v>
      </c>
      <c r="K93" s="10">
        <v>170</v>
      </c>
      <c r="L93" s="36">
        <f t="shared" si="35"/>
        <v>1.8888888888888888</v>
      </c>
      <c r="N93" s="26"/>
      <c r="O93">
        <v>90</v>
      </c>
      <c r="P93">
        <v>170</v>
      </c>
      <c r="Q93" s="36">
        <f t="shared" si="36"/>
        <v>1.8888888888888888</v>
      </c>
      <c r="S93" s="13">
        <f t="shared" si="37"/>
        <v>0</v>
      </c>
      <c r="T93" s="14">
        <f>SUMIFS([1]SRGM!AN:AN,[1]SRGM!B:B,$B93)</f>
        <v>0</v>
      </c>
      <c r="V93" s="5"/>
    </row>
    <row r="94" spans="1:22">
      <c r="A94" s="27"/>
      <c r="B94" s="27"/>
      <c r="C94" s="32" t="s">
        <v>181</v>
      </c>
      <c r="D94" s="32"/>
      <c r="G94" s="32"/>
      <c r="H94" s="33"/>
      <c r="I94" s="34"/>
      <c r="T94"/>
    </row>
    <row r="95" spans="1:22">
      <c r="A95" s="15"/>
      <c r="B95" s="15" t="s">
        <v>182</v>
      </c>
      <c r="C95" s="23" t="s">
        <v>183</v>
      </c>
      <c r="D95" s="23" t="s">
        <v>13</v>
      </c>
      <c r="E95" s="15">
        <v>200</v>
      </c>
      <c r="F95" s="15">
        <v>350</v>
      </c>
      <c r="G95" s="36">
        <f t="shared" si="34"/>
        <v>1.75</v>
      </c>
      <c r="H95" s="24"/>
      <c r="I95" s="26" t="s">
        <v>63</v>
      </c>
      <c r="J95" s="10">
        <v>154</v>
      </c>
      <c r="K95" s="10">
        <f>F95</f>
        <v>350</v>
      </c>
      <c r="L95" s="36">
        <f t="shared" si="35"/>
        <v>2.2727272727272729</v>
      </c>
      <c r="O95">
        <v>154</v>
      </c>
      <c r="P95">
        <v>349</v>
      </c>
      <c r="Q95" s="36">
        <f t="shared" si="36"/>
        <v>2.2662337662337664</v>
      </c>
      <c r="S95" s="13">
        <f t="shared" si="37"/>
        <v>-2.8571428571428914E-3</v>
      </c>
      <c r="T95" s="14">
        <f>SUMIFS([1]SRGM!AN:AN,[1]SRGM!B:B,$B95)</f>
        <v>0</v>
      </c>
      <c r="V95" s="5"/>
    </row>
    <row r="96" spans="1:22">
      <c r="A96" s="27"/>
      <c r="B96" s="27"/>
      <c r="C96" s="32"/>
      <c r="D96" s="32"/>
      <c r="G96" s="32"/>
      <c r="H96" s="33"/>
      <c r="I96" s="34"/>
      <c r="T96"/>
    </row>
    <row r="97" spans="1:22">
      <c r="A97" s="21"/>
      <c r="B97" s="21"/>
      <c r="C97" s="21"/>
      <c r="D97" s="21"/>
      <c r="G97" s="21"/>
      <c r="H97" s="22"/>
      <c r="I97" s="10"/>
      <c r="T97"/>
    </row>
    <row r="98" spans="1:22">
      <c r="A98" s="51" t="s">
        <v>184</v>
      </c>
      <c r="B98" s="15" t="s">
        <v>185</v>
      </c>
      <c r="C98" s="23" t="s">
        <v>186</v>
      </c>
      <c r="D98" s="23" t="s">
        <v>13</v>
      </c>
      <c r="E98" s="15">
        <v>135</v>
      </c>
      <c r="F98" s="15">
        <v>299</v>
      </c>
      <c r="G98" s="36">
        <f t="shared" ref="G98:G100" si="38">F98/E98</f>
        <v>2.2148148148148148</v>
      </c>
      <c r="H98" s="24"/>
      <c r="I98" s="26" t="s">
        <v>63</v>
      </c>
      <c r="J98" s="10">
        <v>129</v>
      </c>
      <c r="K98" s="10">
        <f t="shared" ref="K98" si="39">F98</f>
        <v>299</v>
      </c>
      <c r="L98" s="36">
        <f t="shared" ref="L98:L100" si="40">K98/J98</f>
        <v>2.3178294573643412</v>
      </c>
      <c r="O98">
        <v>129</v>
      </c>
      <c r="P98">
        <v>299</v>
      </c>
      <c r="Q98" s="36">
        <f t="shared" ref="Q98:Q100" si="41">P98/O98</f>
        <v>2.3178294573643412</v>
      </c>
      <c r="S98" s="13">
        <f t="shared" ref="S98:S100" si="42">Q98/L98-1</f>
        <v>0</v>
      </c>
      <c r="T98" s="14">
        <f>SUMIFS([1]SRGM!AN:AN,[1]SRGM!B:B,$B98)</f>
        <v>0</v>
      </c>
      <c r="V98" s="5"/>
    </row>
    <row r="99" spans="1:22">
      <c r="A99" s="51"/>
      <c r="B99" s="15" t="s">
        <v>187</v>
      </c>
      <c r="C99" s="23" t="s">
        <v>188</v>
      </c>
      <c r="D99" s="23" t="s">
        <v>13</v>
      </c>
      <c r="E99" s="15">
        <v>90</v>
      </c>
      <c r="F99" s="15">
        <v>180</v>
      </c>
      <c r="G99" s="36">
        <f t="shared" si="38"/>
        <v>2</v>
      </c>
      <c r="H99" s="24"/>
      <c r="I99" s="26" t="s">
        <v>63</v>
      </c>
      <c r="J99" s="10">
        <v>87</v>
      </c>
      <c r="K99" s="10">
        <v>199</v>
      </c>
      <c r="L99" s="36">
        <f t="shared" si="40"/>
        <v>2.2873563218390807</v>
      </c>
      <c r="O99">
        <v>87</v>
      </c>
      <c r="P99">
        <v>199</v>
      </c>
      <c r="Q99" s="36">
        <f t="shared" si="41"/>
        <v>2.2873563218390807</v>
      </c>
      <c r="S99" s="13">
        <f t="shared" si="42"/>
        <v>0</v>
      </c>
      <c r="T99" s="14">
        <f>SUMIFS([1]SRGM!AN:AN,[1]SRGM!B:B,$B99)</f>
        <v>0</v>
      </c>
      <c r="V99" s="5"/>
    </row>
    <row r="100" spans="1:22">
      <c r="A100" s="51"/>
      <c r="B100" s="15" t="s">
        <v>189</v>
      </c>
      <c r="C100" s="23" t="s">
        <v>190</v>
      </c>
      <c r="D100" s="23" t="s">
        <v>13</v>
      </c>
      <c r="E100" s="15">
        <v>180</v>
      </c>
      <c r="F100" s="15">
        <v>480</v>
      </c>
      <c r="G100" s="36">
        <f t="shared" si="38"/>
        <v>2.6666666666666665</v>
      </c>
      <c r="H100" s="24"/>
      <c r="I100" s="26" t="s">
        <v>63</v>
      </c>
      <c r="J100" s="10">
        <v>174</v>
      </c>
      <c r="K100" s="10">
        <v>499</v>
      </c>
      <c r="L100" s="36">
        <f t="shared" si="40"/>
        <v>2.867816091954023</v>
      </c>
      <c r="O100">
        <v>174</v>
      </c>
      <c r="P100">
        <v>499</v>
      </c>
      <c r="Q100" s="36">
        <f t="shared" si="41"/>
        <v>2.867816091954023</v>
      </c>
      <c r="S100" s="13">
        <f t="shared" si="42"/>
        <v>0</v>
      </c>
      <c r="T100" s="14">
        <f>SUMIFS([1]SRGM!AN:AN,[1]SRGM!B:B,$B100)</f>
        <v>0</v>
      </c>
      <c r="V100" s="5"/>
    </row>
    <row r="101" spans="1:22">
      <c r="A101" s="27"/>
      <c r="B101" s="27"/>
      <c r="C101" s="32" t="s">
        <v>191</v>
      </c>
      <c r="D101" s="32"/>
      <c r="G101" s="32"/>
      <c r="H101" s="33"/>
      <c r="I101" s="34"/>
      <c r="T101"/>
    </row>
    <row r="102" spans="1:22">
      <c r="A102" s="21"/>
      <c r="C102" s="21"/>
      <c r="D102" s="21"/>
      <c r="G102" s="21"/>
      <c r="H102" s="22"/>
      <c r="I102" s="10"/>
      <c r="T102"/>
    </row>
    <row r="103" spans="1:22">
      <c r="A103" s="51" t="s">
        <v>192</v>
      </c>
      <c r="B103" s="21" t="s">
        <v>193</v>
      </c>
      <c r="C103" s="23" t="s">
        <v>194</v>
      </c>
      <c r="D103" s="23" t="s">
        <v>13</v>
      </c>
      <c r="E103" s="15">
        <v>129</v>
      </c>
      <c r="F103" s="15">
        <v>299</v>
      </c>
      <c r="G103" s="36">
        <f t="shared" ref="G103:G107" si="43">F103/E103</f>
        <v>2.3178294573643412</v>
      </c>
      <c r="H103" s="24"/>
      <c r="I103" s="26" t="s">
        <v>63</v>
      </c>
      <c r="J103" s="10">
        <v>124.5</v>
      </c>
      <c r="K103" s="10">
        <v>299</v>
      </c>
      <c r="L103" s="36">
        <f t="shared" ref="L103:L107" si="44">K103/J103</f>
        <v>2.4016064257028114</v>
      </c>
      <c r="O103" s="10">
        <v>124.5</v>
      </c>
      <c r="P103" s="10">
        <v>299</v>
      </c>
      <c r="Q103" s="11">
        <f t="shared" ref="Q103:Q107" si="45">P103/O103</f>
        <v>2.4016064257028114</v>
      </c>
      <c r="S103" s="13">
        <f t="shared" ref="S103:S107" si="46">Q103/L103-1</f>
        <v>0</v>
      </c>
      <c r="T103" s="14">
        <f>SUMIFS([1]SRGM!AN:AN,[1]SRGM!B:B,$B103)</f>
        <v>0</v>
      </c>
      <c r="V103" s="5"/>
    </row>
    <row r="104" spans="1:22">
      <c r="A104" s="51"/>
      <c r="B104" s="15" t="s">
        <v>195</v>
      </c>
      <c r="C104" s="23" t="s">
        <v>196</v>
      </c>
      <c r="D104" s="23" t="s">
        <v>13</v>
      </c>
      <c r="E104" s="15">
        <v>171</v>
      </c>
      <c r="F104" s="15">
        <v>499</v>
      </c>
      <c r="G104" s="36">
        <f t="shared" si="43"/>
        <v>2.9181286549707601</v>
      </c>
      <c r="H104" s="24"/>
      <c r="I104" s="26" t="s">
        <v>63</v>
      </c>
      <c r="J104" s="10">
        <v>166.5</v>
      </c>
      <c r="K104" s="10">
        <v>525</v>
      </c>
      <c r="L104" s="36">
        <f t="shared" si="44"/>
        <v>3.1531531531531534</v>
      </c>
      <c r="O104" s="10">
        <v>166.5</v>
      </c>
      <c r="P104" s="10">
        <v>525</v>
      </c>
      <c r="Q104" s="11">
        <f t="shared" si="45"/>
        <v>3.1531531531531534</v>
      </c>
      <c r="S104" s="13">
        <f t="shared" si="46"/>
        <v>0</v>
      </c>
      <c r="T104" s="14">
        <f>SUMIFS([1]SRGM!AN:AN,[1]SRGM!B:B,$B104)</f>
        <v>0</v>
      </c>
      <c r="V104" s="5"/>
    </row>
    <row r="105" spans="1:22">
      <c r="A105" s="51"/>
      <c r="B105" s="15" t="s">
        <v>197</v>
      </c>
      <c r="C105" s="23" t="s">
        <v>198</v>
      </c>
      <c r="D105" s="23" t="s">
        <v>13</v>
      </c>
      <c r="E105" s="15">
        <v>103.2</v>
      </c>
      <c r="F105" s="15">
        <v>199</v>
      </c>
      <c r="G105" s="36">
        <f t="shared" si="43"/>
        <v>1.9282945736434107</v>
      </c>
      <c r="H105" s="24"/>
      <c r="I105" s="26" t="s">
        <v>63</v>
      </c>
      <c r="J105" s="10">
        <v>90.3</v>
      </c>
      <c r="K105" s="10">
        <v>199</v>
      </c>
      <c r="L105" s="36">
        <f t="shared" si="44"/>
        <v>2.2037652270210408</v>
      </c>
      <c r="O105" s="10">
        <v>90.3</v>
      </c>
      <c r="P105" s="10">
        <v>199</v>
      </c>
      <c r="Q105" s="11">
        <f t="shared" si="45"/>
        <v>2.2037652270210408</v>
      </c>
      <c r="S105" s="13">
        <f t="shared" si="46"/>
        <v>0</v>
      </c>
      <c r="T105" s="14">
        <f>SUMIFS([1]SRGM!AN:AN,[1]SRGM!B:B,$B105)</f>
        <v>0</v>
      </c>
      <c r="V105" s="5"/>
    </row>
    <row r="106" spans="1:22">
      <c r="A106" s="51"/>
      <c r="B106" s="15" t="s">
        <v>199</v>
      </c>
      <c r="C106" s="23" t="s">
        <v>200</v>
      </c>
      <c r="D106" s="23" t="s">
        <v>13</v>
      </c>
      <c r="E106" s="15">
        <v>108</v>
      </c>
      <c r="F106" s="15">
        <v>399</v>
      </c>
      <c r="G106" s="36">
        <f t="shared" si="43"/>
        <v>3.6944444444444446</v>
      </c>
      <c r="H106" s="24"/>
      <c r="I106" s="26" t="s">
        <v>63</v>
      </c>
      <c r="J106" s="10">
        <v>129</v>
      </c>
      <c r="K106" s="10">
        <v>430</v>
      </c>
      <c r="L106" s="36">
        <f t="shared" si="44"/>
        <v>3.3333333333333335</v>
      </c>
      <c r="O106" s="10">
        <f>J106</f>
        <v>129</v>
      </c>
      <c r="P106" s="10">
        <f>K106</f>
        <v>430</v>
      </c>
      <c r="Q106" s="11">
        <f t="shared" si="45"/>
        <v>3.3333333333333335</v>
      </c>
      <c r="S106" s="13">
        <f t="shared" si="46"/>
        <v>0</v>
      </c>
      <c r="T106" s="14">
        <f>SUMIFS([1]SRGM!AN:AN,[1]SRGM!B:B,$B106)</f>
        <v>0</v>
      </c>
      <c r="V106" s="5"/>
    </row>
    <row r="107" spans="1:22">
      <c r="A107" s="51"/>
      <c r="B107" s="15" t="s">
        <v>201</v>
      </c>
      <c r="C107" s="23" t="s">
        <v>202</v>
      </c>
      <c r="D107" s="23" t="s">
        <v>13</v>
      </c>
      <c r="E107" s="15">
        <v>178.2</v>
      </c>
      <c r="F107" s="15">
        <v>649</v>
      </c>
      <c r="G107" s="36">
        <f t="shared" si="43"/>
        <v>3.6419753086419755</v>
      </c>
      <c r="H107" s="24"/>
      <c r="I107" s="26" t="s">
        <v>63</v>
      </c>
      <c r="J107" s="10">
        <v>166.5</v>
      </c>
      <c r="K107" s="10">
        <v>649</v>
      </c>
      <c r="L107" s="36">
        <f t="shared" si="44"/>
        <v>3.8978978978978978</v>
      </c>
      <c r="O107" s="10">
        <v>166.5</v>
      </c>
      <c r="P107" s="10">
        <v>649</v>
      </c>
      <c r="Q107" s="11">
        <f t="shared" si="45"/>
        <v>3.8978978978978978</v>
      </c>
      <c r="S107" s="13">
        <f t="shared" si="46"/>
        <v>0</v>
      </c>
      <c r="T107" s="14">
        <f>SUMIFS([1]SRGM!AN:AN,[1]SRGM!B:B,$B107)</f>
        <v>0</v>
      </c>
      <c r="V107" s="5"/>
    </row>
    <row r="108" spans="1:22">
      <c r="A108" s="15"/>
      <c r="B108" s="15"/>
      <c r="C108" s="46" t="s">
        <v>203</v>
      </c>
      <c r="D108" s="46"/>
      <c r="G108" s="46"/>
      <c r="H108" s="47"/>
      <c r="I108" s="48"/>
      <c r="T108"/>
    </row>
    <row r="109" spans="1:22">
      <c r="A109" s="21"/>
      <c r="B109" s="21"/>
      <c r="C109" s="21"/>
      <c r="D109" s="21"/>
      <c r="G109" s="21"/>
      <c r="H109" s="22"/>
      <c r="I109" s="10"/>
      <c r="T109"/>
    </row>
    <row r="110" spans="1:22">
      <c r="A110" s="51" t="s">
        <v>204</v>
      </c>
      <c r="B110" s="15" t="s">
        <v>205</v>
      </c>
      <c r="C110" s="15" t="s">
        <v>206</v>
      </c>
      <c r="D110" s="15" t="s">
        <v>61</v>
      </c>
      <c r="E110" s="15">
        <v>525</v>
      </c>
      <c r="F110" s="15">
        <v>250</v>
      </c>
      <c r="G110" s="36">
        <f t="shared" ref="G110:G115" si="47">F110/E110</f>
        <v>0.47619047619047616</v>
      </c>
      <c r="H110" s="16"/>
      <c r="I110" s="10"/>
      <c r="J110" s="10">
        <v>525</v>
      </c>
      <c r="K110" s="10">
        <v>250</v>
      </c>
      <c r="L110" s="36">
        <f t="shared" ref="L110:L115" si="48">K110/J110</f>
        <v>0.47619047619047616</v>
      </c>
      <c r="O110" s="10">
        <v>525</v>
      </c>
      <c r="P110" s="10">
        <v>250</v>
      </c>
      <c r="Q110" s="11">
        <f t="shared" ref="Q110:Q115" si="49">P110/O110</f>
        <v>0.47619047619047616</v>
      </c>
      <c r="S110" s="13">
        <f t="shared" ref="S110:S115" si="50">Q110/L110-1</f>
        <v>0</v>
      </c>
      <c r="T110" s="14">
        <f>SUMIFS([1]SRGM!AN:AN,[1]SRGM!B:B,$B110)</f>
        <v>0</v>
      </c>
      <c r="V110" s="5"/>
    </row>
    <row r="111" spans="1:22">
      <c r="A111" s="51"/>
      <c r="B111" s="15" t="s">
        <v>207</v>
      </c>
      <c r="C111" s="15" t="s">
        <v>208</v>
      </c>
      <c r="D111" s="15" t="s">
        <v>61</v>
      </c>
      <c r="E111" s="15">
        <v>630</v>
      </c>
      <c r="F111" s="15">
        <v>300</v>
      </c>
      <c r="G111" s="36">
        <f t="shared" si="47"/>
        <v>0.47619047619047616</v>
      </c>
      <c r="H111" s="16"/>
      <c r="I111" s="10" t="s">
        <v>51</v>
      </c>
      <c r="J111" s="10">
        <v>570</v>
      </c>
      <c r="K111" s="10">
        <v>300</v>
      </c>
      <c r="L111" s="36">
        <f t="shared" si="48"/>
        <v>0.52631578947368418</v>
      </c>
      <c r="O111" s="10">
        <v>570</v>
      </c>
      <c r="P111" s="10">
        <v>300</v>
      </c>
      <c r="Q111" s="11">
        <f t="shared" si="49"/>
        <v>0.52631578947368418</v>
      </c>
      <c r="S111" s="13">
        <f t="shared" si="50"/>
        <v>0</v>
      </c>
      <c r="T111" s="14">
        <f>SUMIFS([1]SRGM!AN:AN,[1]SRGM!B:B,$B111)</f>
        <v>0</v>
      </c>
      <c r="V111" s="5"/>
    </row>
    <row r="112" spans="1:22">
      <c r="A112" s="51"/>
      <c r="B112" s="15" t="s">
        <v>209</v>
      </c>
      <c r="C112" s="15" t="s">
        <v>210</v>
      </c>
      <c r="D112" s="15" t="s">
        <v>61</v>
      </c>
      <c r="E112" s="15">
        <v>1050</v>
      </c>
      <c r="F112" s="15">
        <v>500</v>
      </c>
      <c r="G112" s="36">
        <f t="shared" si="47"/>
        <v>0.47619047619047616</v>
      </c>
      <c r="H112" s="16"/>
      <c r="I112" s="10" t="s">
        <v>51</v>
      </c>
      <c r="J112" s="10">
        <v>950</v>
      </c>
      <c r="K112" s="10">
        <v>500</v>
      </c>
      <c r="L112" s="36">
        <f t="shared" si="48"/>
        <v>0.52631578947368418</v>
      </c>
      <c r="O112" s="10">
        <v>950</v>
      </c>
      <c r="P112" s="10">
        <v>500</v>
      </c>
      <c r="Q112" s="11">
        <f t="shared" si="49"/>
        <v>0.52631578947368418</v>
      </c>
      <c r="S112" s="13">
        <f t="shared" si="50"/>
        <v>0</v>
      </c>
      <c r="T112" s="14">
        <f>SUMIFS([1]SRGM!AN:AN,[1]SRGM!B:B,$B112)</f>
        <v>0</v>
      </c>
      <c r="V112" s="5"/>
    </row>
    <row r="113" spans="1:22">
      <c r="A113" s="51"/>
      <c r="B113" s="15" t="s">
        <v>211</v>
      </c>
      <c r="C113" s="15" t="s">
        <v>212</v>
      </c>
      <c r="D113" s="15" t="s">
        <v>61</v>
      </c>
      <c r="E113" s="15">
        <v>304</v>
      </c>
      <c r="F113" s="15">
        <v>160</v>
      </c>
      <c r="G113" s="36">
        <f t="shared" si="47"/>
        <v>0.52631578947368418</v>
      </c>
      <c r="H113" s="16"/>
      <c r="I113" s="10" t="s">
        <v>51</v>
      </c>
      <c r="J113" s="10">
        <v>224</v>
      </c>
      <c r="K113" s="10">
        <v>160</v>
      </c>
      <c r="L113" s="36">
        <f t="shared" si="48"/>
        <v>0.7142857142857143</v>
      </c>
      <c r="O113" s="10">
        <v>224</v>
      </c>
      <c r="P113" s="10">
        <v>160</v>
      </c>
      <c r="Q113" s="11">
        <f t="shared" si="49"/>
        <v>0.7142857142857143</v>
      </c>
      <c r="S113" s="13">
        <f t="shared" si="50"/>
        <v>0</v>
      </c>
      <c r="T113" s="14">
        <f>SUMIFS([1]SRGM!AN:AN,[1]SRGM!B:B,$B113)</f>
        <v>0</v>
      </c>
      <c r="V113" s="5"/>
    </row>
    <row r="114" spans="1:22">
      <c r="A114" s="51"/>
      <c r="B114" s="15" t="s">
        <v>213</v>
      </c>
      <c r="C114" s="15" t="s">
        <v>214</v>
      </c>
      <c r="D114" s="15" t="s">
        <v>61</v>
      </c>
      <c r="E114" s="15">
        <v>315</v>
      </c>
      <c r="F114" s="15">
        <v>150</v>
      </c>
      <c r="G114" s="36">
        <f t="shared" si="47"/>
        <v>0.47619047619047616</v>
      </c>
      <c r="H114" s="16"/>
      <c r="I114" s="10"/>
      <c r="J114" s="10">
        <f>E114</f>
        <v>315</v>
      </c>
      <c r="K114" s="10">
        <f>F114</f>
        <v>150</v>
      </c>
      <c r="L114" s="36">
        <f t="shared" si="48"/>
        <v>0.47619047619047616</v>
      </c>
      <c r="O114" s="10">
        <f>J114</f>
        <v>315</v>
      </c>
      <c r="P114" s="10">
        <f>K114</f>
        <v>150</v>
      </c>
      <c r="Q114" s="36">
        <f t="shared" si="49"/>
        <v>0.47619047619047616</v>
      </c>
      <c r="S114" s="13">
        <f t="shared" si="50"/>
        <v>0</v>
      </c>
      <c r="T114" s="14">
        <f>SUMIFS([1]SRGM!AN:AN,[1]SRGM!B:B,$B114)</f>
        <v>0</v>
      </c>
      <c r="V114" s="5"/>
    </row>
    <row r="115" spans="1:22">
      <c r="A115" s="51"/>
      <c r="B115" s="15" t="s">
        <v>215</v>
      </c>
      <c r="C115" s="15" t="s">
        <v>216</v>
      </c>
      <c r="D115" s="15" t="s">
        <v>61</v>
      </c>
      <c r="E115" s="15">
        <v>84</v>
      </c>
      <c r="F115" s="15">
        <v>50</v>
      </c>
      <c r="G115" s="36">
        <f t="shared" si="47"/>
        <v>0.59523809523809523</v>
      </c>
      <c r="H115" s="16"/>
      <c r="I115" s="10" t="s">
        <v>51</v>
      </c>
      <c r="J115" s="10">
        <v>76</v>
      </c>
      <c r="K115" s="10">
        <v>50</v>
      </c>
      <c r="L115" s="36">
        <f t="shared" si="48"/>
        <v>0.65789473684210531</v>
      </c>
      <c r="O115" s="10">
        <v>76</v>
      </c>
      <c r="P115" s="10">
        <v>50</v>
      </c>
      <c r="Q115" s="11">
        <f t="shared" si="49"/>
        <v>0.65789473684210531</v>
      </c>
      <c r="S115" s="13">
        <f t="shared" si="50"/>
        <v>0</v>
      </c>
      <c r="T115" s="14">
        <f>SUMIFS([1]SRGM!AN:AN,[1]SRGM!B:B,$B115)</f>
        <v>0</v>
      </c>
      <c r="V115" s="5"/>
    </row>
    <row r="116" spans="1:22">
      <c r="A116" s="15"/>
      <c r="B116" s="15"/>
      <c r="C116" s="15"/>
      <c r="D116" s="15"/>
      <c r="G116" s="15"/>
      <c r="H116" s="16"/>
      <c r="I116" s="10"/>
      <c r="T116"/>
    </row>
    <row r="117" spans="1:22">
      <c r="A117" s="21"/>
      <c r="B117" s="21"/>
      <c r="C117" s="21"/>
      <c r="D117" s="21"/>
      <c r="G117" s="21"/>
      <c r="H117" s="22"/>
      <c r="I117" s="10"/>
      <c r="T117"/>
    </row>
    <row r="118" spans="1:22">
      <c r="A118" s="15" t="s">
        <v>217</v>
      </c>
      <c r="B118" s="15" t="s">
        <v>218</v>
      </c>
      <c r="C118" s="49" t="s">
        <v>219</v>
      </c>
      <c r="D118" s="49" t="s">
        <v>61</v>
      </c>
      <c r="E118" s="15">
        <v>935</v>
      </c>
      <c r="F118" s="15">
        <v>340</v>
      </c>
      <c r="G118" s="36">
        <f t="shared" ref="G118" si="51">F118/E118</f>
        <v>0.36363636363636365</v>
      </c>
      <c r="H118" s="50"/>
      <c r="I118" s="49"/>
      <c r="J118" s="15">
        <v>935</v>
      </c>
      <c r="K118" s="15">
        <v>340</v>
      </c>
      <c r="L118" s="36">
        <f t="shared" ref="L118" si="52">K118/J118</f>
        <v>0.36363636363636365</v>
      </c>
      <c r="O118" s="15">
        <v>935</v>
      </c>
      <c r="P118" s="15">
        <v>340</v>
      </c>
      <c r="Q118" s="11">
        <f t="shared" ref="Q118" si="53">P118/O118</f>
        <v>0.36363636363636365</v>
      </c>
      <c r="S118" s="13">
        <f t="shared" ref="S118" si="54">Q118/L118-1</f>
        <v>0</v>
      </c>
      <c r="T118" s="14">
        <f>SUMIFS([1]SRGM!AN:AN,[1]SRGM!B:B,$B118)</f>
        <v>0</v>
      </c>
      <c r="V118" s="5"/>
    </row>
    <row r="119" spans="1:22">
      <c r="A119" s="21"/>
      <c r="B119" s="21"/>
      <c r="C119" s="21"/>
      <c r="D119" s="21"/>
      <c r="G119" s="21"/>
      <c r="H119" s="22"/>
      <c r="I119" s="10"/>
      <c r="T119"/>
    </row>
    <row r="120" spans="1:22">
      <c r="A120" s="15" t="s">
        <v>220</v>
      </c>
      <c r="B120" s="15" t="s">
        <v>221</v>
      </c>
      <c r="C120" s="49" t="s">
        <v>222</v>
      </c>
      <c r="D120" s="49" t="s">
        <v>61</v>
      </c>
      <c r="E120" s="15">
        <v>200</v>
      </c>
      <c r="F120" s="15">
        <v>27</v>
      </c>
      <c r="G120" s="36">
        <f t="shared" ref="G120:G123" si="55">F120/E120</f>
        <v>0.13500000000000001</v>
      </c>
      <c r="H120" s="50"/>
      <c r="I120" s="49"/>
      <c r="J120" s="15">
        <v>200</v>
      </c>
      <c r="K120" s="15">
        <v>27</v>
      </c>
      <c r="L120" s="36">
        <f t="shared" ref="L120:L124" si="56">K120/J120</f>
        <v>0.13500000000000001</v>
      </c>
      <c r="N120" s="26" t="s">
        <v>82</v>
      </c>
      <c r="O120" s="15">
        <v>200</v>
      </c>
      <c r="P120" s="15">
        <v>30</v>
      </c>
      <c r="Q120" s="11">
        <f t="shared" ref="Q120" si="57">P120/O120</f>
        <v>0.15</v>
      </c>
      <c r="S120" s="13">
        <f t="shared" ref="S120" si="58">Q120/L120-1</f>
        <v>0.11111111111111094</v>
      </c>
      <c r="T120" s="14">
        <f>SUMIFS([1]SRGM!AN:AN,[1]SRGM!B:B,$B120)</f>
        <v>0</v>
      </c>
      <c r="V120" s="5"/>
    </row>
    <row r="121" spans="1:22">
      <c r="A121" s="21"/>
      <c r="B121" s="21"/>
      <c r="C121" s="21"/>
      <c r="D121" s="21"/>
      <c r="G121" s="21"/>
      <c r="H121" s="22"/>
      <c r="I121" s="10"/>
      <c r="O121" s="15"/>
      <c r="P121" s="15"/>
      <c r="T121"/>
    </row>
    <row r="122" spans="1:22">
      <c r="A122" s="51" t="s">
        <v>223</v>
      </c>
      <c r="B122" s="15" t="s">
        <v>224</v>
      </c>
      <c r="C122" s="21" t="s">
        <v>225</v>
      </c>
      <c r="D122" s="21" t="s">
        <v>61</v>
      </c>
      <c r="E122" s="15">
        <v>25</v>
      </c>
      <c r="F122" s="15">
        <v>20</v>
      </c>
      <c r="G122" s="36">
        <f t="shared" si="55"/>
        <v>0.8</v>
      </c>
      <c r="H122" s="22"/>
      <c r="I122" s="10" t="s">
        <v>43</v>
      </c>
      <c r="J122" s="10">
        <v>21</v>
      </c>
      <c r="K122" s="10">
        <v>20</v>
      </c>
      <c r="L122" s="36">
        <f t="shared" si="56"/>
        <v>0.95238095238095233</v>
      </c>
      <c r="N122" s="26" t="s">
        <v>15</v>
      </c>
      <c r="O122" s="15">
        <v>20</v>
      </c>
      <c r="P122" s="15">
        <v>20</v>
      </c>
      <c r="Q122" s="11">
        <f t="shared" ref="Q122:Q124" si="59">P122/O122</f>
        <v>1</v>
      </c>
      <c r="S122" s="13">
        <f t="shared" ref="S122:S124" si="60">Q122/L122-1</f>
        <v>5.0000000000000044E-2</v>
      </c>
      <c r="T122" s="14">
        <f>SUMIFS([1]SRGM!AN:AN,[1]SRGM!B:B,$B122)</f>
        <v>0</v>
      </c>
      <c r="V122" s="5"/>
    </row>
    <row r="123" spans="1:22">
      <c r="A123" s="51"/>
      <c r="B123" s="15" t="s">
        <v>226</v>
      </c>
      <c r="C123" s="21" t="s">
        <v>227</v>
      </c>
      <c r="D123" s="21" t="s">
        <v>61</v>
      </c>
      <c r="E123" s="15">
        <v>25</v>
      </c>
      <c r="F123" s="15">
        <v>20</v>
      </c>
      <c r="G123" s="36">
        <f t="shared" si="55"/>
        <v>0.8</v>
      </c>
      <c r="H123" s="22"/>
      <c r="I123" s="10" t="s">
        <v>43</v>
      </c>
      <c r="J123" s="10">
        <v>21</v>
      </c>
      <c r="K123" s="10">
        <v>20</v>
      </c>
      <c r="L123" s="36">
        <f t="shared" si="56"/>
        <v>0.95238095238095233</v>
      </c>
      <c r="N123" s="26" t="s">
        <v>15</v>
      </c>
      <c r="O123" s="15">
        <v>20</v>
      </c>
      <c r="P123" s="15">
        <v>20</v>
      </c>
      <c r="Q123" s="11">
        <f t="shared" si="59"/>
        <v>1</v>
      </c>
      <c r="S123" s="13">
        <f t="shared" si="60"/>
        <v>5.0000000000000044E-2</v>
      </c>
      <c r="T123" s="14">
        <f>SUMIFS([1]SRGM!AN:AN,[1]SRGM!B:B,$B123)</f>
        <v>0</v>
      </c>
      <c r="V123" s="5"/>
    </row>
    <row r="124" spans="1:22">
      <c r="A124" s="51"/>
      <c r="B124" s="15" t="s">
        <v>228</v>
      </c>
      <c r="C124" s="21" t="s">
        <v>229</v>
      </c>
      <c r="D124" s="21" t="s">
        <v>61</v>
      </c>
      <c r="E124" s="21" t="s">
        <v>61</v>
      </c>
      <c r="F124" s="21" t="s">
        <v>61</v>
      </c>
      <c r="G124" s="21" t="s">
        <v>61</v>
      </c>
      <c r="H124" s="22"/>
      <c r="I124" s="10" t="s">
        <v>14</v>
      </c>
      <c r="J124" s="10">
        <v>21</v>
      </c>
      <c r="K124" s="10">
        <v>20</v>
      </c>
      <c r="L124" s="36">
        <f t="shared" si="56"/>
        <v>0.95238095238095233</v>
      </c>
      <c r="N124" s="26" t="s">
        <v>15</v>
      </c>
      <c r="O124" s="15">
        <v>20</v>
      </c>
      <c r="P124" s="15">
        <v>20</v>
      </c>
      <c r="Q124" s="11">
        <f t="shared" si="59"/>
        <v>1</v>
      </c>
      <c r="S124" s="13">
        <f t="shared" si="60"/>
        <v>5.0000000000000044E-2</v>
      </c>
      <c r="T124" s="14">
        <f>SUMIFS([1]SRGM!AN:AN,[1]SRGM!B:B,$B124)</f>
        <v>0</v>
      </c>
      <c r="V124" s="5"/>
    </row>
    <row r="125" spans="1:22">
      <c r="A125" s="21"/>
      <c r="B125" s="21"/>
      <c r="C125" s="21"/>
      <c r="D125" s="21"/>
      <c r="G125" s="21"/>
      <c r="H125" s="22"/>
      <c r="I125" s="10"/>
      <c r="T125"/>
    </row>
    <row r="126" spans="1:22">
      <c r="A126" s="21"/>
      <c r="B126" s="21"/>
      <c r="C126" s="21"/>
      <c r="D126" s="21"/>
      <c r="G126" s="21"/>
      <c r="H126" s="22"/>
      <c r="I126" s="10"/>
      <c r="T126"/>
    </row>
    <row r="127" spans="1:22">
      <c r="A127" s="21" t="s">
        <v>230</v>
      </c>
      <c r="B127" s="21" t="s">
        <v>231</v>
      </c>
      <c r="C127" s="21" t="s">
        <v>232</v>
      </c>
      <c r="D127" s="21" t="s">
        <v>58</v>
      </c>
      <c r="E127" s="15">
        <v>10.3</v>
      </c>
      <c r="F127" s="15">
        <v>10</v>
      </c>
      <c r="G127" s="36">
        <f t="shared" ref="G127" si="61">F127/E127</f>
        <v>0.97087378640776689</v>
      </c>
      <c r="H127" s="22"/>
      <c r="I127" s="10" t="s">
        <v>233</v>
      </c>
      <c r="J127" s="10">
        <v>9.5</v>
      </c>
      <c r="K127" s="10">
        <f>F127</f>
        <v>10</v>
      </c>
      <c r="L127" s="36">
        <f t="shared" ref="L127" si="62">K127/J127</f>
        <v>1.0526315789473684</v>
      </c>
      <c r="O127">
        <v>9.5</v>
      </c>
      <c r="P127">
        <v>10</v>
      </c>
      <c r="Q127" s="11">
        <f t="shared" ref="Q127" si="63">P127/O127</f>
        <v>1.0526315789473684</v>
      </c>
      <c r="S127" s="13">
        <f t="shared" ref="S127" si="64">Q127/L127-1</f>
        <v>0</v>
      </c>
      <c r="T127" s="14">
        <f>SUMIFS([1]SRGM!AN:AN,[1]SRGM!B:B,$B127)</f>
        <v>0</v>
      </c>
      <c r="V127" s="5"/>
    </row>
  </sheetData>
  <autoFilter ref="A2:T127" xr:uid="{1509DB5C-61C6-4E73-9874-C66222CF3890}"/>
  <mergeCells count="21">
    <mergeCell ref="A51:A53"/>
    <mergeCell ref="D1:G1"/>
    <mergeCell ref="I1:L1"/>
    <mergeCell ref="N1:Q1"/>
    <mergeCell ref="A3:A9"/>
    <mergeCell ref="A13:A18"/>
    <mergeCell ref="A21:A25"/>
    <mergeCell ref="A27:A30"/>
    <mergeCell ref="A32:A38"/>
    <mergeCell ref="A41:A48"/>
    <mergeCell ref="I48:L48"/>
    <mergeCell ref="N48:S48"/>
    <mergeCell ref="A103:A107"/>
    <mergeCell ref="A110:A115"/>
    <mergeCell ref="A122:A124"/>
    <mergeCell ref="A56:A69"/>
    <mergeCell ref="N66:S66"/>
    <mergeCell ref="N67:S67"/>
    <mergeCell ref="A72:A81"/>
    <mergeCell ref="A84:A93"/>
    <mergeCell ref="A98:A100"/>
  </mergeCells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User3</dc:creator>
  <cp:lastModifiedBy>ROSHAN</cp:lastModifiedBy>
  <dcterms:created xsi:type="dcterms:W3CDTF">2025-08-13T10:53:10Z</dcterms:created>
  <dcterms:modified xsi:type="dcterms:W3CDTF">2025-12-02T07:45:16Z</dcterms:modified>
</cp:coreProperties>
</file>